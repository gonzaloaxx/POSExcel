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onzalo Acevedo\Repositories\excelpos\"/>
    </mc:Choice>
  </mc:AlternateContent>
  <xr:revisionPtr revIDLastSave="0" documentId="13_ncr:1_{1A99277B-3CA5-4FE2-B327-45053FCA1AA1}" xr6:coauthVersionLast="47" xr6:coauthVersionMax="47" xr10:uidLastSave="{00000000-0000-0000-0000-000000000000}"/>
  <bookViews>
    <workbookView xWindow="-120" yWindow="-120" windowWidth="20730" windowHeight="11160" xr2:uid="{03538BEA-39CA-4141-9BF4-C19AA27BBBAF}"/>
  </bookViews>
  <sheets>
    <sheet name="Principal" sheetId="1" r:id="rId1"/>
    <sheet name="Ventas" sheetId="2" r:id="rId2"/>
    <sheet name="Productos" sheetId="3" r:id="rId3"/>
    <sheet name="Analiticas" sheetId="8" r:id="rId4"/>
  </sheets>
  <definedNames>
    <definedName name="_xlcn.WorksheetConnection_PuntoDeVentaDemo.xlsmTblProductos" hidden="1">TblProductos[]</definedName>
    <definedName name="_xlcn.WorksheetConnection_PuntoDeVentaDemo.xlsmTblVentas" hidden="1">TblVentas[]</definedName>
    <definedName name="Timeline_Fecha">#N/A</definedName>
  </definedNames>
  <calcPr calcId="191029"/>
  <pivotCaches>
    <pivotCache cacheId="0" r:id="rId5"/>
    <pivotCache cacheId="1" r:id="rId6"/>
    <pivotCache cacheId="2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A2CB5862-8E78-49c6-8D9D-AF26E26ADB89}">
      <x15:timelineCachePivotCaches>
        <pivotCache cacheId="3" r:id="rId8"/>
      </x15:timelineCachePivotCaches>
    </ext>
    <ext xmlns:x15="http://schemas.microsoft.com/office/spreadsheetml/2010/11/main" uri="{D0CA8CA8-9F24-4464-BF8E-62219DCF47F9}">
      <x15:timelineCacheRefs>
        <x15:timelineCacheRef r:id="rId9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lVentas" name="TblVentas" connection="WorksheetConnection_PuntoDeVenta-Demo.xlsm!TblVentas"/>
          <x15:modelTable id="TblProductos" name="TblProductos" connection="WorksheetConnection_PuntoDeVenta-Demo.xlsm!TblProductos"/>
        </x15:modelTables>
        <x15:modelRelationships>
          <x15:modelRelationship fromTable="TblVentas" fromColumn="Codigo" toTable="TblProductos" toColumn="Codigo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TblVentas" columnName="Fecha" columnId="Fecha">
                <x16:calculatedTimeColumn columnName="Fecha (índice de meses)" columnId="Fecha (índice de meses)" contentType="monthsindex" isSelected="1"/>
                <x16:calculatedTimeColumn columnName="Fecha (mes)" columnId="Fecha (me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8" l="1" a="1"/>
  <c r="B2" i="8" s="1"/>
  <c r="M1" i="8" a="1"/>
  <c r="M1" i="8" s="1"/>
  <c r="B11" i="8" a="1"/>
  <c r="B11" i="8" s="1"/>
  <c r="B8" i="8" a="1"/>
  <c r="B8" i="8" s="1"/>
  <c r="B5" i="8" a="1"/>
  <c r="B5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233789A-352C-4FCC-BBB8-EC8B4EADA7AB}" keepAlive="1" name="ThisWorkbookDataModel" description="Modelo de dat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378AC442-8DCD-47C7-8F4F-1913CB1F3DF7}" name="WorksheetConnection_PuntoDeVenta-Demo.xlsm!TblProductos" type="102" refreshedVersion="7" minRefreshableVersion="5">
    <extLst>
      <ext xmlns:x15="http://schemas.microsoft.com/office/spreadsheetml/2010/11/main" uri="{DE250136-89BD-433C-8126-D09CA5730AF9}">
        <x15:connection id="TblProductos">
          <x15:rangePr sourceName="_xlcn.WorksheetConnection_PuntoDeVentaDemo.xlsmTblProductos"/>
        </x15:connection>
      </ext>
    </extLst>
  </connection>
  <connection id="3" xr16:uid="{A3B25B62-608F-42FC-810E-188937F06939}" name="WorksheetConnection_PuntoDeVenta-Demo.xlsm!TblVentas" type="102" refreshedVersion="7" minRefreshableVersion="5">
    <extLst>
      <ext xmlns:x15="http://schemas.microsoft.com/office/spreadsheetml/2010/11/main" uri="{DE250136-89BD-433C-8126-D09CA5730AF9}">
        <x15:connection id="TblVentas">
          <x15:rangePr sourceName="_xlcn.WorksheetConnection_PuntoDeVentaDemo.xlsmTblVentas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<sst xmlns="http://schemas.openxmlformats.org/spreadsheetml/2006/main" count="111" uniqueCount="55">
  <si>
    <t>DM971</t>
  </si>
  <si>
    <t>DM507</t>
  </si>
  <si>
    <t>DM266</t>
  </si>
  <si>
    <t>DM610</t>
  </si>
  <si>
    <t>DM514</t>
  </si>
  <si>
    <t>DM511</t>
  </si>
  <si>
    <t>DM510</t>
  </si>
  <si>
    <t>DM503</t>
  </si>
  <si>
    <t>DM889</t>
  </si>
  <si>
    <t>Categoria</t>
  </si>
  <si>
    <t>MetodoPago</t>
  </si>
  <si>
    <t>ID</t>
  </si>
  <si>
    <t>Fecha</t>
  </si>
  <si>
    <t>Hora</t>
  </si>
  <si>
    <t>Codigo</t>
  </si>
  <si>
    <t>Interes</t>
  </si>
  <si>
    <t>PUnit</t>
  </si>
  <si>
    <t>IDTicket</t>
  </si>
  <si>
    <t>Descripcion</t>
  </si>
  <si>
    <t>Unidades</t>
  </si>
  <si>
    <t>PCosto</t>
  </si>
  <si>
    <t>ASD13</t>
  </si>
  <si>
    <t>EFECTIVO</t>
  </si>
  <si>
    <t>DEBITO</t>
  </si>
  <si>
    <t>SUMA RECAUDACION DIARIA</t>
  </si>
  <si>
    <t>SUMA RECAUDACION MENSUAL</t>
  </si>
  <si>
    <t>NUMERO DE VENTAS MENSUALES</t>
  </si>
  <si>
    <t>Cantidad</t>
  </si>
  <si>
    <t>Etiquetas de fila</t>
  </si>
  <si>
    <t>TOP 10 PODUCTOS MAS VENDIDOS</t>
  </si>
  <si>
    <t>RECUENTO DE VENTAS DIARIAS</t>
  </si>
  <si>
    <t>PRODUCTOS AGOTADOS</t>
  </si>
  <si>
    <t>TALADRO INALÁMBRICO PROX</t>
  </si>
  <si>
    <t>JUEGO DE DESTORNILLADORES PRECISIONMAX</t>
  </si>
  <si>
    <t>ALICATE MULTIHERRAMIENTA TITANX</t>
  </si>
  <si>
    <t>CINTA MÉTRICA FLEXIMEASURE</t>
  </si>
  <si>
    <t>KIT DE BROCAS POWERDRILL</t>
  </si>
  <si>
    <t>PINTURA ANTICORROSIVA RUSTGUARD</t>
  </si>
  <si>
    <t>CINTA DE AISLAMIENTO PROTAPE</t>
  </si>
  <si>
    <t>ESCUADRA DE CARPINTERO EXACTA</t>
  </si>
  <si>
    <t>LLAVE INGLESA MEGAGRIP</t>
  </si>
  <si>
    <t>SET DE TORNILLOS Y TUERCAS MAXFIX</t>
  </si>
  <si>
    <t>HERRAMIENTAS ELÉCTRICAS</t>
  </si>
  <si>
    <t>HERRAMIENTAS MANUALES</t>
  </si>
  <si>
    <t>HERRAMIENTAS MANUALES MULTIFUNCIONALES</t>
  </si>
  <si>
    <t>HERRAMIENTAS DE MEDICIÓN</t>
  </si>
  <si>
    <t>ACCESORIOS PARA HERRAMIENTAS ELÉCTRICAS</t>
  </si>
  <si>
    <t>PRODUCTOS DE PROTECCIÓN Y ACABADO</t>
  </si>
  <si>
    <t>MATERIALES DE AISLAMIENTO</t>
  </si>
  <si>
    <t>HERRAMIENTAS DE MEDICIÓN Y PRECISIÓN</t>
  </si>
  <si>
    <t>HERRAMIENTAS MANUALES DE AJUSTE</t>
  </si>
  <si>
    <t>ACCESORIOS DE FIJACIÓN</t>
  </si>
  <si>
    <t>MERCADOCASH</t>
  </si>
  <si>
    <t>NUMERO DE VENTAS DIARIA</t>
  </si>
  <si>
    <t>Suma de Venta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</si>
</sst>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5" formatCode="&quot;$&quot;\ #,##0;\-&quot;$&quot;\ #,##0"/>
    <numFmt numFmtId="44" formatCode="_-&quot;$&quot;\ * #,##0.00_-;\-&quot;$&quot;\ * #,##0.00_-;_-&quot;$&quot;\ * &quot;-&quot;??_-;_-@_-"/>
    <numFmt numFmtId="164" formatCode="dd/mm/yyyy;@"/>
    <numFmt numFmtId="165" formatCode="00000"/>
    <numFmt numFmtId="166" formatCode="&quot;$&quot;\ #,##0.00"/>
  </numFmts>
  <fonts count="4" x14ac:knownFonts="1">
    <font>
      <sz val="11"/>
      <color theme="1"/>
      <name val="Calibri"/>
      <family val="2"/>
    </font>
    <font>
      <b/>
      <sz val="11"/>
      <color theme="0"/>
      <name val="Calibri"/>
      <family val="2"/>
    </font>
    <font>
      <b/>
      <sz val="11"/>
      <color theme="1"/>
      <name val="Calibri"/>
      <family val="2"/>
    </font>
    <font>
      <sz val="11"/>
      <color rgb="FFF3F5F7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5"/>
        <bgColor theme="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theme="5"/>
      </patternFill>
    </fill>
    <fill>
      <patternFill patternType="solid">
        <fgColor theme="5"/>
        <bgColor indexed="64"/>
      </patternFill>
    </fill>
  </fills>
  <borders count="8">
    <border>
      <left/>
      <right/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/>
      <right/>
      <top style="medium">
        <color theme="5" tint="-0.249977111117893"/>
      </top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4" xfId="0" applyBorder="1"/>
    <xf numFmtId="164" fontId="0" fillId="0" borderId="5" xfId="0" applyNumberFormat="1" applyBorder="1"/>
    <xf numFmtId="0" fontId="0" fillId="0" borderId="5" xfId="0" applyBorder="1"/>
    <xf numFmtId="44" fontId="0" fillId="0" borderId="6" xfId="0" applyNumberFormat="1" applyBorder="1"/>
    <xf numFmtId="165" fontId="0" fillId="0" borderId="1" xfId="0" applyNumberFormat="1" applyBorder="1"/>
    <xf numFmtId="164" fontId="0" fillId="0" borderId="2" xfId="0" applyNumberFormat="1" applyBorder="1"/>
    <xf numFmtId="20" fontId="0" fillId="0" borderId="2" xfId="0" applyNumberFormat="1" applyBorder="1"/>
    <xf numFmtId="9" fontId="0" fillId="0" borderId="2" xfId="0" applyNumberFormat="1" applyBorder="1"/>
    <xf numFmtId="44" fontId="0" fillId="0" borderId="3" xfId="0" applyNumberFormat="1" applyBorder="1"/>
    <xf numFmtId="0" fontId="0" fillId="0" borderId="4" xfId="0" applyNumberFormat="1" applyBorder="1"/>
    <xf numFmtId="165" fontId="0" fillId="0" borderId="2" xfId="0" applyNumberFormat="1" applyBorder="1"/>
    <xf numFmtId="0" fontId="0" fillId="0" borderId="2" xfId="0" applyBorder="1"/>
    <xf numFmtId="0" fontId="0" fillId="0" borderId="0" xfId="0" applyNumberFormat="1"/>
    <xf numFmtId="0" fontId="0" fillId="0" borderId="0" xfId="0" pivotButton="1"/>
    <xf numFmtId="0" fontId="1" fillId="2" borderId="7" xfId="0" applyFont="1" applyFill="1" applyBorder="1" applyAlignment="1">
      <alignment horizontal="centerContinuous"/>
    </xf>
    <xf numFmtId="0" fontId="0" fillId="0" borderId="0" xfId="0" applyAlignment="1">
      <alignment horizontal="centerContinuous"/>
    </xf>
    <xf numFmtId="0" fontId="0" fillId="3" borderId="0" xfId="0" applyFill="1" applyAlignment="1">
      <alignment horizontal="centerContinuous"/>
    </xf>
    <xf numFmtId="5" fontId="0" fillId="3" borderId="0" xfId="0" applyNumberFormat="1" applyFill="1" applyAlignment="1">
      <alignment horizontal="centerContinuous"/>
    </xf>
    <xf numFmtId="0" fontId="0" fillId="3" borderId="0" xfId="0" applyNumberFormat="1" applyFill="1" applyAlignment="1">
      <alignment horizontal="centerContinuous"/>
    </xf>
    <xf numFmtId="14" fontId="0" fillId="0" borderId="0" xfId="0" applyNumberFormat="1"/>
    <xf numFmtId="0" fontId="0" fillId="0" borderId="0" xfId="0" applyAlignment="1">
      <alignment horizontal="left"/>
    </xf>
    <xf numFmtId="0" fontId="1" fillId="4" borderId="7" xfId="0" applyFont="1" applyFill="1" applyBorder="1" applyAlignment="1">
      <alignment horizontal="centerContinuous"/>
    </xf>
    <xf numFmtId="0" fontId="0" fillId="0" borderId="0" xfId="0" applyBorder="1"/>
    <xf numFmtId="0" fontId="3" fillId="0" borderId="0" xfId="0" applyFont="1" applyAlignment="1">
      <alignment vertical="center"/>
    </xf>
    <xf numFmtId="166" fontId="0" fillId="0" borderId="0" xfId="0" applyNumberFormat="1"/>
    <xf numFmtId="0" fontId="2" fillId="0" borderId="0" xfId="0" pivotButton="1" applyFont="1"/>
    <xf numFmtId="0" fontId="1" fillId="5" borderId="0" xfId="0" applyFont="1" applyFill="1" applyAlignment="1">
      <alignment horizontal="center"/>
    </xf>
  </cellXfs>
  <cellStyles count="1">
    <cellStyle name="Normal" xfId="0" builtinId="0"/>
  </cellStyles>
  <dxfs count="18">
    <dxf>
      <font>
        <b/>
      </font>
    </dxf>
    <dxf>
      <numFmt numFmtId="34" formatCode="_-&quot;$&quot;\ * #,##0.00_-;\-&quot;$&quot;\ * #,##0.00_-;_-&quot;$&quot;\ * &quot;-&quot;??_-;_-@_-"/>
      <border diagonalUp="0" diagonalDown="0">
        <left/>
        <right style="thin">
          <color theme="5"/>
        </right>
        <top style="thin">
          <color theme="5"/>
        </top>
        <bottom/>
        <vertical/>
        <horizontal/>
      </border>
    </dxf>
    <dxf>
      <border diagonalUp="0" diagonalDown="0">
        <left/>
        <right/>
        <top style="thin">
          <color theme="5"/>
        </top>
        <bottom/>
        <vertical/>
        <horizontal/>
      </border>
    </dxf>
    <dxf>
      <border diagonalUp="0" diagonalDown="0">
        <left/>
        <right/>
        <top style="thin">
          <color theme="5"/>
        </top>
        <bottom/>
        <vertical/>
        <horizontal/>
      </border>
    </dxf>
    <dxf>
      <border diagonalUp="0" diagonalDown="0">
        <left/>
        <right/>
        <top style="thin">
          <color theme="5"/>
        </top>
        <bottom/>
        <vertical/>
        <horizontal/>
      </border>
    </dxf>
    <dxf>
      <numFmt numFmtId="164" formatCode="dd/mm/yyyy;@"/>
      <border diagonalUp="0" diagonalDown="0">
        <left/>
        <right/>
        <top style="thin">
          <color theme="5"/>
        </top>
        <bottom/>
        <vertical/>
        <horizontal/>
      </border>
    </dxf>
    <dxf>
      <numFmt numFmtId="0" formatCode="General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numFmt numFmtId="34" formatCode="_-&quot;$&quot;\ * #,##0.00_-;\-&quot;$&quot;\ * #,##0.00_-;_-&quot;$&quot;\ * &quot;-&quot;??_-;_-@_-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numFmt numFmtId="13" formatCode="0%"/>
      <border diagonalUp="0" diagonalDown="0">
        <left/>
        <right/>
        <top style="thin">
          <color theme="9"/>
        </top>
        <bottom/>
        <vertical/>
        <horizontal/>
      </border>
    </dxf>
    <dxf>
      <border diagonalUp="0" diagonalDown="0">
        <left/>
        <right/>
        <top style="thin">
          <color theme="9"/>
        </top>
        <bottom/>
        <vertical/>
        <horizontal/>
      </border>
    </dxf>
    <dxf>
      <numFmt numFmtId="25" formatCode="hh:mm"/>
      <border diagonalUp="0" diagonalDown="0">
        <left/>
        <right/>
        <top style="thin">
          <color theme="9"/>
        </top>
        <bottom/>
        <vertical/>
        <horizontal/>
      </border>
    </dxf>
    <dxf>
      <numFmt numFmtId="25" formatCode="hh:mm"/>
      <border diagonalUp="0" diagonalDown="0">
        <left/>
        <right/>
        <top style="thin">
          <color theme="9"/>
        </top>
        <bottom/>
        <vertical/>
        <horizontal/>
      </border>
    </dxf>
    <dxf>
      <numFmt numFmtId="164" formatCode="dd/mm/yyyy;@"/>
      <border diagonalUp="0" diagonalDown="0">
        <left/>
        <right/>
        <top style="thin">
          <color theme="9"/>
        </top>
        <bottom/>
        <vertical/>
        <horizontal/>
      </border>
    </dxf>
    <dxf>
      <numFmt numFmtId="165" formatCode="00000"/>
      <border diagonalUp="0" diagonalDown="0">
        <left/>
        <right/>
        <top style="thin">
          <color theme="9"/>
        </top>
        <bottom/>
        <vertical/>
        <horizontal/>
      </border>
    </dxf>
    <dxf>
      <numFmt numFmtId="165" formatCode="00000"/>
      <border diagonalUp="0" diagonalDown="0">
        <left style="thin">
          <color theme="9"/>
        </left>
        <right/>
        <top style="thin">
          <color theme="9"/>
        </top>
        <bottom/>
        <vertical/>
        <horizontal/>
      </border>
    </dxf>
    <dxf>
      <font>
        <sz val="10"/>
        <color theme="1"/>
      </font>
      <border>
        <vertical/>
        <horizontal/>
      </border>
    </dxf>
    <dxf>
      <font>
        <b/>
        <sz val="11"/>
        <color theme="1"/>
      </font>
      <border>
        <vertical/>
        <horizontal/>
      </border>
    </dxf>
    <dxf>
      <font>
        <color theme="1"/>
      </font>
      <fill>
        <patternFill patternType="none">
          <bgColor auto="1"/>
        </patternFill>
      </fill>
      <border>
        <vertical/>
        <horizontal/>
      </border>
    </dxf>
  </dxfs>
  <tableStyles count="2" defaultTableStyle="TableStyleMedium2" defaultPivotStyle="PivotStyleLight16">
    <tableStyle name="TimeSlicerStyleDark2 2" pivot="0" table="0" count="9" xr9:uid="{B53822DF-1C0E-467B-96BF-3BAB6E1C542A}">
      <tableStyleElement type="wholeTable" dxfId="17"/>
      <tableStyleElement type="headerRow" dxfId="16"/>
    </tableStyle>
    <tableStyle name="TimeSlicerStyleDark6 2" pivot="0" table="0" count="8" xr9:uid="{8E007F79-6DBA-4E23-973C-14E7C45F73D4}">
      <tableStyleElement type="headerRow" dxfId="15"/>
    </tableStyle>
  </tableStyles>
  <colors>
    <mruColors>
      <color rgb="FF31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A0A4C193-F2C1-4fcb-8827-314CF55A85BB}">
      <x15:dxfs count="14">
        <dxf>
          <fill>
            <patternFill patternType="solid">
              <fgColor theme="9" tint="0.39994506668294322"/>
              <bgColor theme="9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249977111117893"/>
              </stop>
              <stop position="1">
                <color theme="0" tint="-0.249977111117893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9"/>
              </stop>
              <stop position="1">
                <color theme="9" tint="-0.499984740745262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b/>
            <i val="0"/>
            <sz val="12"/>
            <color theme="9" tint="-0.249977111117893"/>
          </font>
          <border>
            <left/>
            <right/>
            <top/>
            <bottom/>
            <vertical/>
            <horizontal/>
          </border>
        </dxf>
        <dxf>
          <fill>
            <patternFill patternType="solid">
              <fgColor theme="5" tint="0.39997558519241921"/>
              <bgColor theme="5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249977111117893"/>
              </stop>
              <stop position="1">
                <color theme="0" tint="-0.249977111117893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5"/>
              </stop>
              <stop position="1">
                <color theme="5" tint="-0.499984740745262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10"/>
            <color theme="5" tint="-0.249977111117893"/>
          </font>
          <border>
            <left/>
            <right/>
            <top/>
            <bottom/>
            <vertical/>
            <horizontal/>
          </border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TimeSlicerStyleDark2 2">
          <x15:timelineStyleElements>
            <x15:timelineStyleElement type="selectionLabel" dxfId="13"/>
            <x15:timelineStyleElement type="timeLevel" dxfId="12"/>
            <x15:timelineStyleElement type="periodLabel1" dxfId="11"/>
            <x15:timelineStyleElement type="periodLabel2" dxfId="10"/>
            <x15:timelineStyleElement type="selectedTimeBlock" dxfId="9"/>
            <x15:timelineStyleElement type="unselectedTimeBlock" dxfId="8"/>
            <x15:timelineStyleElement type="selectedTimeBlockSpace" dxfId="7"/>
          </x15:timelineStyleElements>
        </x15:timelineStyle>
        <x15:timelineStyle name="TimeSlicerStyleDark6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34" Type="http://schemas.microsoft.com/office/2006/relationships/vbaProject" Target="vbaProject.bin"/><Relationship Id="rId7" Type="http://schemas.openxmlformats.org/officeDocument/2006/relationships/pivotCacheDefinition" Target="pivotCache/pivotCacheDefinition3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pivotCacheDefinition" Target="pivotCache/pivotCacheDefinition1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10" Type="http://schemas.openxmlformats.org/officeDocument/2006/relationships/theme" Target="theme/theme1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microsoft.com/office/2011/relationships/timelineCache" Target="timelineCaches/timelineCache1.xml"/><Relationship Id="rId14" Type="http://schemas.openxmlformats.org/officeDocument/2006/relationships/sheetMetadata" Target="metadata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8" Type="http://schemas.openxmlformats.org/officeDocument/2006/relationships/pivotCacheDefinition" Target="pivotCache/pivotCacheDefinition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[PuntoDeVenta-Demo.xlsm]Analiticas!TablaDinámica3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none" spc="5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200" b="1"/>
              <a:t>Productos Mas Vendidos</a:t>
            </a:r>
          </a:p>
        </c:rich>
      </c:tx>
      <c:layout>
        <c:manualLayout>
          <c:xMode val="edge"/>
          <c:yMode val="edge"/>
          <c:x val="0.3483366333594265"/>
          <c:y val="1.14942580750556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s-A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alpha val="70000"/>
            </a:schemeClr>
          </a:solidFill>
          <a:ln>
            <a:noFill/>
          </a:ln>
          <a:effectLst/>
        </c:spPr>
        <c:marker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2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2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5069310780596861"/>
          <c:y val="0.15247133336561383"/>
          <c:w val="0.54930689219403128"/>
          <c:h val="0.8422109884202136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Analiticas!$I$3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Analiticas!$H$4:$H$12</c:f>
              <c:strCache>
                <c:ptCount val="9"/>
                <c:pt idx="0">
                  <c:v>PINTURA ANTICORROSIVA RUSTGUARD</c:v>
                </c:pt>
                <c:pt idx="1">
                  <c:v>ESCUADRA DE CARPINTERO EXACTA</c:v>
                </c:pt>
                <c:pt idx="2">
                  <c:v>JUEGO DE DESTORNILLADORES PRECISIONMAX</c:v>
                </c:pt>
                <c:pt idx="3">
                  <c:v>KIT DE BROCAS POWERDRILL</c:v>
                </c:pt>
                <c:pt idx="4">
                  <c:v>LLAVE INGLESA MEGAGRIP</c:v>
                </c:pt>
                <c:pt idx="5">
                  <c:v>CINTA DE AISLAMIENTO PROTAPE</c:v>
                </c:pt>
                <c:pt idx="6">
                  <c:v>TALADRO INALÁMBRICO PROX</c:v>
                </c:pt>
                <c:pt idx="7">
                  <c:v>ALICATE MULTIHERRAMIENTA TITANX</c:v>
                </c:pt>
                <c:pt idx="8">
                  <c:v>CINTA MÉTRICA FLEXIMEASURE</c:v>
                </c:pt>
              </c:strCache>
            </c:strRef>
          </c:cat>
          <c:val>
            <c:numRef>
              <c:f>Analiticas!$I$4:$I$12</c:f>
              <c:numCache>
                <c:formatCode>General</c:formatCode>
                <c:ptCount val="9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39-46EF-BDBD-5C940AE3B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2097662031"/>
        <c:axId val="2097660367"/>
      </c:barChart>
      <c:catAx>
        <c:axId val="2097662031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noFill/>
          <a:ln w="15875" cap="flat" cmpd="sng" algn="ctr">
            <a:noFill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097660367"/>
        <c:crosses val="autoZero"/>
        <c:auto val="1"/>
        <c:lblAlgn val="ctr"/>
        <c:lblOffset val="100"/>
        <c:noMultiLvlLbl val="1"/>
      </c:catAx>
      <c:valAx>
        <c:axId val="20976603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97662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[PuntoDeVenta-Demo.xlsm]Analiticas!TablaDinámica1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Historia</a:t>
            </a:r>
            <a:r>
              <a:rPr lang="en-US" baseline="0"/>
              <a:t> de Ventas Diarias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cap="none" spc="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cap="none" spc="20" normalizeH="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cap="none" spc="20" normalizeH="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8100" cap="rnd">
            <a:solidFill>
              <a:schemeClr val="accent2">
                <a:lumMod val="75000"/>
              </a:schemeClr>
            </a:solidFill>
            <a:round/>
            <a:tailEnd type="triangle" w="med" len="sm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cap="none" spc="20" normalizeH="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883717257405861"/>
          <c:y val="0.14314830923899571"/>
          <c:w val="0.88116282742594154"/>
          <c:h val="0.59568638471265978"/>
        </c:manualLayout>
      </c:layout>
      <c:lineChart>
        <c:grouping val="standard"/>
        <c:varyColors val="0"/>
        <c:ser>
          <c:idx val="0"/>
          <c:order val="0"/>
          <c:tx>
            <c:strRef>
              <c:f>Analiticas!$F$3</c:f>
              <c:strCache>
                <c:ptCount val="1"/>
                <c:pt idx="0">
                  <c:v>Total</c:v>
                </c:pt>
              </c:strCache>
            </c:strRef>
          </c:tx>
          <c:spPr>
            <a:ln w="38100" cap="rnd">
              <a:solidFill>
                <a:schemeClr val="accent2">
                  <a:lumMod val="75000"/>
                </a:schemeClr>
              </a:solidFill>
              <a:round/>
              <a:tailEnd type="triangle" w="med" len="sm"/>
            </a:ln>
            <a:effectLst/>
          </c:spPr>
          <c:marker>
            <c:symbol val="none"/>
          </c:marker>
          <c:cat>
            <c:strRef>
              <c:f>Analiticas!$E$4:$E$8</c:f>
              <c:strCache>
                <c:ptCount val="5"/>
                <c:pt idx="0">
                  <c:v>6/9/2024</c:v>
                </c:pt>
                <c:pt idx="1">
                  <c:v>7/9/2024</c:v>
                </c:pt>
                <c:pt idx="2">
                  <c:v>9/9/2024</c:v>
                </c:pt>
                <c:pt idx="3">
                  <c:v>10/9/2024</c:v>
                </c:pt>
                <c:pt idx="4">
                  <c:v>11/9/2024</c:v>
                </c:pt>
              </c:strCache>
            </c:strRef>
          </c:cat>
          <c:val>
            <c:numRef>
              <c:f>Analiticas!$F$4:$F$8</c:f>
              <c:numCache>
                <c:formatCode>"$"\ #,##0.00</c:formatCode>
                <c:ptCount val="5"/>
                <c:pt idx="0">
                  <c:v>16150</c:v>
                </c:pt>
                <c:pt idx="1">
                  <c:v>40970</c:v>
                </c:pt>
                <c:pt idx="2">
                  <c:v>104550</c:v>
                </c:pt>
                <c:pt idx="3">
                  <c:v>43350</c:v>
                </c:pt>
                <c:pt idx="4">
                  <c:v>155550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3EF-4F48-A902-90C43CAB6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87235407"/>
        <c:axId val="1887237071"/>
      </c:lineChart>
      <c:catAx>
        <c:axId val="188723540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87237071"/>
        <c:crosses val="autoZero"/>
        <c:auto val="1"/>
        <c:lblAlgn val="ctr"/>
        <c:lblOffset val="100"/>
        <c:noMultiLvlLbl val="0"/>
      </c:catAx>
      <c:valAx>
        <c:axId val="1887237071"/>
        <c:scaling>
          <c:orientation val="minMax"/>
        </c:scaling>
        <c:delete val="0"/>
        <c:axPos val="l"/>
        <c:numFmt formatCode="&quot;$&quot;\ 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8872354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 algn="ctr">
        <a:defRPr lang="en-US" sz="1000" b="1" i="0" u="none" strike="noStrike" kern="1200" cap="none" spc="20" normalizeH="0" baseline="0">
          <a:solidFill>
            <a:schemeClr val="tx1">
              <a:lumMod val="65000"/>
              <a:lumOff val="35000"/>
            </a:schemeClr>
          </a:solidFill>
          <a:latin typeface="+mn-lt"/>
          <a:ea typeface="+mn-ea"/>
          <a:cs typeface="+mn-cs"/>
        </a:defRPr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4.png"/><Relationship Id="rId7" Type="http://schemas.openxmlformats.org/officeDocument/2006/relationships/chart" Target="../charts/chart1.xml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557211</xdr:colOff>
      <xdr:row>1</xdr:row>
      <xdr:rowOff>85723</xdr:rowOff>
    </xdr:from>
    <xdr:to>
      <xdr:col>5</xdr:col>
      <xdr:colOff>633414</xdr:colOff>
      <xdr:row>5</xdr:row>
      <xdr:rowOff>104774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57211" y="276223"/>
          <a:ext cx="3886203" cy="781051"/>
        </a:xfrm>
        <a:prstGeom prst="roundRect">
          <a:avLst/>
        </a:prstGeom>
        <a:solidFill>
          <a:srgbClr val="313131"/>
        </a:solidFill>
        <a:ln>
          <a:solidFill>
            <a:schemeClr val="accent1">
              <a:lumMod val="50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="1" i="0"/>
            <a:t>PUNTO DE VENTA</a:t>
          </a:r>
        </a:p>
        <a:p>
          <a:pPr algn="ctr"/>
          <a:r>
            <a:rPr lang="es-AR" sz="1100" b="1" i="0"/>
            <a:t>(POS)</a:t>
          </a:r>
        </a:p>
      </xdr:txBody>
    </xdr:sp>
    <xdr:clientData/>
  </xdr:twoCellAnchor>
  <xdr:twoCellAnchor>
    <xdr:from>
      <xdr:col>1</xdr:col>
      <xdr:colOff>218212</xdr:colOff>
      <xdr:row>4</xdr:row>
      <xdr:rowOff>180975</xdr:rowOff>
    </xdr:from>
    <xdr:to>
      <xdr:col>3</xdr:col>
      <xdr:colOff>134212</xdr:colOff>
      <xdr:row>7</xdr:row>
      <xdr:rowOff>123825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980212" y="942975"/>
          <a:ext cx="1440000" cy="514350"/>
          <a:chOff x="1061738" y="942975"/>
          <a:chExt cx="1440000" cy="514350"/>
        </a:xfrm>
      </xdr:grpSpPr>
      <xdr:sp macro="[0]!FormSales_OpenForm" textlink="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1061738" y="942975"/>
            <a:ext cx="1440000" cy="51435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s-AR" sz="1400" b="0">
                <a:solidFill>
                  <a:srgbClr val="313131"/>
                </a:solidFill>
              </a:rPr>
              <a:t>     Ventas</a:t>
            </a:r>
          </a:p>
        </xdr:txBody>
      </xdr:sp>
      <xdr:pic macro="[0]!FormSales_OpenForm">
        <xdr:nvPicPr>
          <xdr:cNvPr id="21" name="Imagen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13039" y="10116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294412</xdr:colOff>
      <xdr:row>4</xdr:row>
      <xdr:rowOff>180975</xdr:rowOff>
    </xdr:from>
    <xdr:to>
      <xdr:col>5</xdr:col>
      <xdr:colOff>210412</xdr:colOff>
      <xdr:row>7</xdr:row>
      <xdr:rowOff>123825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2580412" y="942975"/>
          <a:ext cx="1440000" cy="514350"/>
          <a:chOff x="2500013" y="942975"/>
          <a:chExt cx="1440000" cy="514350"/>
        </a:xfrm>
      </xdr:grpSpPr>
      <xdr:sp macro="[0]!FormProducts_OpenForm" textlink="">
        <xdr:nvSpPr>
          <xdr:cNvPr id="22" name="Rectángulo: esquinas redondeadas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2500013" y="942975"/>
            <a:ext cx="1440000" cy="51435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s-AR" sz="1400" b="0">
                <a:solidFill>
                  <a:srgbClr val="313131"/>
                </a:solidFill>
              </a:rPr>
              <a:t>Productos</a:t>
            </a:r>
          </a:p>
        </xdr:txBody>
      </xdr:sp>
      <xdr:pic macro="[0]!FormProducts_OpenForm">
        <xdr:nvPicPr>
          <xdr:cNvPr id="19" name="Imagen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51314" y="10021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647698</xdr:colOff>
      <xdr:row>5</xdr:row>
      <xdr:rowOff>19049</xdr:rowOff>
    </xdr:from>
    <xdr:to>
      <xdr:col>11</xdr:col>
      <xdr:colOff>171448</xdr:colOff>
      <xdr:row>8</xdr:row>
      <xdr:rowOff>47624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5219698" y="971549"/>
          <a:ext cx="3333750" cy="600075"/>
          <a:chOff x="419173" y="2599762"/>
          <a:chExt cx="3333750" cy="600075"/>
        </a:xfrm>
      </xdr:grpSpPr>
      <xdr:sp macro="" textlink="">
        <xdr:nvSpPr>
          <xdr:cNvPr id="28" name="Rectángulo: esquinas redondeadas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419173" y="2599762"/>
            <a:ext cx="3333750" cy="600075"/>
          </a:xfrm>
          <a:prstGeom prst="roundRect">
            <a:avLst/>
          </a:prstGeom>
          <a:solidFill>
            <a:sysClr val="window" lastClr="FFFFFF"/>
          </a:solidFill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l"/>
            <a:r>
              <a:rPr lang="es-AR" sz="1400" baseline="0">
                <a:solidFill>
                  <a:sysClr val="windowText" lastClr="000000"/>
                </a:solidFill>
              </a:rPr>
              <a:t>                   </a:t>
            </a:r>
            <a:r>
              <a:rPr lang="es-AR" sz="1400">
                <a:solidFill>
                  <a:sysClr val="windowText" lastClr="000000"/>
                </a:solidFill>
              </a:rPr>
              <a:t>Productos Agotados</a:t>
            </a:r>
          </a:p>
        </xdr:txBody>
      </xdr:sp>
      <xdr:pic>
        <xdr:nvPicPr>
          <xdr:cNvPr id="34" name="Imagen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40348" y="2665799"/>
            <a:ext cx="468000" cy="468000"/>
          </a:xfrm>
          <a:prstGeom prst="rect">
            <a:avLst/>
          </a:prstGeom>
        </xdr:spPr>
      </xdr:pic>
      <xdr:sp macro="" textlink="Analiticas!M1">
        <xdr:nvSpPr>
          <xdr:cNvPr id="5" name="CuadroTexto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 txBox="1"/>
        </xdr:nvSpPr>
        <xdr:spPr>
          <a:xfrm>
            <a:off x="2900435" y="2661674"/>
            <a:ext cx="781050" cy="476250"/>
          </a:xfrm>
          <a:prstGeom prst="rect">
            <a:avLst/>
          </a:prstGeom>
          <a:solidFill>
            <a:sysClr val="window" lastClr="FFFFFF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8A73BEA-5D68-44D2-8F51-121220947437}" type="TxLink">
              <a:rPr lang="en-US" sz="20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1</a:t>
            </a:fld>
            <a:endParaRPr lang="es-AR" sz="4000" b="1"/>
          </a:p>
        </xdr:txBody>
      </xdr:sp>
    </xdr:grpSp>
    <xdr:clientData/>
  </xdr:twoCellAnchor>
  <xdr:twoCellAnchor>
    <xdr:from>
      <xdr:col>6</xdr:col>
      <xdr:colOff>647698</xdr:colOff>
      <xdr:row>1</xdr:row>
      <xdr:rowOff>28574</xdr:rowOff>
    </xdr:from>
    <xdr:to>
      <xdr:col>11</xdr:col>
      <xdr:colOff>171298</xdr:colOff>
      <xdr:row>4</xdr:row>
      <xdr:rowOff>58274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5219698" y="219074"/>
          <a:ext cx="3333600" cy="601200"/>
          <a:chOff x="419173" y="3380249"/>
          <a:chExt cx="3333600" cy="601200"/>
        </a:xfrm>
      </xdr:grpSpPr>
      <xdr:sp macro="[0]!Hoja1.TextBoxTax_GetFocus" textlink="">
        <xdr:nvSpPr>
          <xdr:cNvPr id="26" name="Rectángulo: esquinas redondeadas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19173" y="3380249"/>
            <a:ext cx="3333600" cy="601200"/>
          </a:xfrm>
          <a:prstGeom prst="roundRect">
            <a:avLst/>
          </a:prstGeom>
          <a:solidFill>
            <a:sysClr val="window" lastClr="FFFFFF"/>
          </a:solidFill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l"/>
            <a:r>
              <a:rPr lang="es-AR" sz="1400">
                <a:solidFill>
                  <a:sysClr val="windowText" lastClr="000000"/>
                </a:solidFill>
              </a:rPr>
              <a:t>                  Tasa</a:t>
            </a:r>
            <a:r>
              <a:rPr lang="es-AR" sz="1400" baseline="0">
                <a:solidFill>
                  <a:sysClr val="windowText" lastClr="000000"/>
                </a:solidFill>
              </a:rPr>
              <a:t> de interes</a:t>
            </a:r>
          </a:p>
          <a:p>
            <a:pPr lvl="0" algn="l"/>
            <a:r>
              <a:rPr lang="es-AR" sz="1400" baseline="0">
                <a:solidFill>
                  <a:sysClr val="windowText" lastClr="000000"/>
                </a:solidFill>
              </a:rPr>
              <a:t>                        (Base)</a:t>
            </a:r>
            <a:endParaRPr lang="es-AR" sz="1400">
              <a:solidFill>
                <a:sysClr val="windowText" lastClr="000000"/>
              </a:solidFill>
            </a:endParaRPr>
          </a:p>
        </xdr:txBody>
      </xdr:sp>
      <xdr:pic macro="[0]!Hoja1.TextBoxTax_GetFocus">
        <xdr:nvPicPr>
          <xdr:cNvPr id="30" name="Imagen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51149" y="3452250"/>
            <a:ext cx="457199" cy="457199"/>
          </a:xfrm>
          <a:prstGeom prst="rect">
            <a:avLst/>
          </a:prstGeom>
        </xdr:spPr>
      </xdr:pic>
      <xdr:sp macro="" textlink="">
        <xdr:nvSpPr>
          <xdr:cNvPr id="18" name="CuadroTexto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3276673" y="3509399"/>
            <a:ext cx="333375" cy="342901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AR" sz="2000" b="1"/>
              <a:t>%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TextBoxTax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2562298" y="3476062"/>
                <a:ext cx="771525" cy="4095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11</xdr:col>
      <xdr:colOff>319087</xdr:colOff>
      <xdr:row>1</xdr:row>
      <xdr:rowOff>28574</xdr:rowOff>
    </xdr:from>
    <xdr:to>
      <xdr:col>15</xdr:col>
      <xdr:colOff>604837</xdr:colOff>
      <xdr:row>4</xdr:row>
      <xdr:rowOff>57149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8701087" y="219074"/>
          <a:ext cx="3333750" cy="600075"/>
          <a:chOff x="8696323" y="219074"/>
          <a:chExt cx="3333750" cy="600075"/>
        </a:xfrm>
      </xdr:grpSpPr>
      <xdr:sp macro="[0]!TextFrameSummary_Switch" textlink="">
        <xdr:nvSpPr>
          <xdr:cNvPr id="27" name="RoundedRectangleSummary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/>
        </xdr:nvSpPr>
        <xdr:spPr>
          <a:xfrm>
            <a:off x="8696323" y="219074"/>
            <a:ext cx="3333750" cy="600075"/>
          </a:xfrm>
          <a:prstGeom prst="roundRect">
            <a:avLst/>
          </a:prstGeom>
          <a:solidFill>
            <a:sysClr val="window" lastClr="FFFFFF"/>
          </a:solidFill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l"/>
            <a:r>
              <a:rPr lang="es-AR" sz="1400">
                <a:solidFill>
                  <a:sysClr val="windowText" lastClr="000000"/>
                </a:solidFill>
              </a:rPr>
              <a:t>                Recaudacion</a:t>
            </a:r>
          </a:p>
          <a:p>
            <a:pPr lvl="0" algn="l"/>
            <a:r>
              <a:rPr lang="es-AR" sz="1400">
                <a:solidFill>
                  <a:sysClr val="windowText" lastClr="000000"/>
                </a:solidFill>
              </a:rPr>
              <a:t>                     (Diario)</a:t>
            </a:r>
          </a:p>
        </xdr:txBody>
      </xdr:sp>
      <xdr:pic macro="[0]!TextFrameSummary_Switch">
        <xdr:nvPicPr>
          <xdr:cNvPr id="32" name="Imagen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953498" y="303111"/>
            <a:ext cx="432000" cy="432000"/>
          </a:xfrm>
          <a:prstGeom prst="rect">
            <a:avLst/>
          </a:prstGeom>
        </xdr:spPr>
      </xdr:pic>
      <xdr:sp macro="[0]!TextFrameSummary_Switch" textlink="Analiticas!B2">
        <xdr:nvSpPr>
          <xdr:cNvPr id="31" name="TextFrameSummary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10477498" y="376236"/>
            <a:ext cx="1543051" cy="285750"/>
          </a:xfrm>
          <a:prstGeom prst="rect">
            <a:avLst/>
          </a:prstGeom>
          <a:solidFill>
            <a:sysClr val="window" lastClr="FFFFFF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tIns="36000" rIns="72000" bIns="36000" rtlCol="0" anchor="ctr"/>
          <a:lstStyle/>
          <a:p>
            <a:pPr algn="ctr"/>
            <a:fld id="{D8F27970-F61F-4484-98A2-2484915A4A3E}" type="TxLink">
              <a:rPr lang="en-US" sz="2000" b="1" i="0" u="none" strike="noStrike">
                <a:solidFill>
                  <a:srgbClr val="000000"/>
                </a:solidFill>
                <a:latin typeface="+mn-lt"/>
                <a:cs typeface="Calibri"/>
              </a:rPr>
              <a:pPr algn="ctr"/>
              <a:t>$ 155.550</a:t>
            </a:fld>
            <a:endParaRPr lang="es-AR" sz="2000" b="1">
              <a:latin typeface="+mn-lt"/>
            </a:endParaRPr>
          </a:p>
        </xdr:txBody>
      </xdr:sp>
    </xdr:grpSp>
    <xdr:clientData/>
  </xdr:twoCellAnchor>
  <xdr:twoCellAnchor>
    <xdr:from>
      <xdr:col>11</xdr:col>
      <xdr:colOff>319087</xdr:colOff>
      <xdr:row>5</xdr:row>
      <xdr:rowOff>19049</xdr:rowOff>
    </xdr:from>
    <xdr:to>
      <xdr:col>15</xdr:col>
      <xdr:colOff>604837</xdr:colOff>
      <xdr:row>8</xdr:row>
      <xdr:rowOff>47624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8701087" y="971549"/>
          <a:ext cx="3333750" cy="600075"/>
          <a:chOff x="8696323" y="971549"/>
          <a:chExt cx="3333750" cy="600075"/>
        </a:xfrm>
      </xdr:grpSpPr>
      <xdr:sp macro="[0]!TextFrameNumSales_Switch" textlink="">
        <xdr:nvSpPr>
          <xdr:cNvPr id="36" name="RoudedRectangeNumSales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8696323" y="971549"/>
            <a:ext cx="3333750" cy="600075"/>
          </a:xfrm>
          <a:prstGeom prst="roundRect">
            <a:avLst/>
          </a:prstGeom>
          <a:solidFill>
            <a:sysClr val="window" lastClr="FFFFFF"/>
          </a:solidFill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l"/>
            <a:r>
              <a:rPr lang="es-AR" sz="1400">
                <a:solidFill>
                  <a:sysClr val="windowText" lastClr="000000"/>
                </a:solidFill>
              </a:rPr>
              <a:t>                Numero de Ventas</a:t>
            </a:r>
          </a:p>
          <a:p>
            <a:pPr lvl="0" algn="l"/>
            <a:r>
              <a:rPr lang="es-AR" sz="1400">
                <a:solidFill>
                  <a:sysClr val="windowText" lastClr="000000"/>
                </a:solidFill>
              </a:rPr>
              <a:t>                          (Diario)</a:t>
            </a:r>
          </a:p>
        </xdr:txBody>
      </xdr:sp>
      <xdr:pic macro="[0]!TextFrameNumSales_Switch">
        <xdr:nvPicPr>
          <xdr:cNvPr id="37" name="Imagen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934448" y="1037586"/>
            <a:ext cx="468000" cy="468000"/>
          </a:xfrm>
          <a:prstGeom prst="rect">
            <a:avLst/>
          </a:prstGeom>
        </xdr:spPr>
      </xdr:pic>
      <xdr:sp macro="[0]!TextFrameNumSales_Switch" textlink="Analiticas!B8">
        <xdr:nvSpPr>
          <xdr:cNvPr id="39" name="TextFrameNumSales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 txBox="1"/>
        </xdr:nvSpPr>
        <xdr:spPr>
          <a:xfrm>
            <a:off x="10915648" y="1062036"/>
            <a:ext cx="1057275" cy="419100"/>
          </a:xfrm>
          <a:prstGeom prst="rect">
            <a:avLst/>
          </a:prstGeom>
          <a:solidFill>
            <a:sysClr val="window" lastClr="FFFFFF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tIns="36000" rIns="72000" bIns="36000" rtlCol="0" anchor="ctr"/>
          <a:lstStyle/>
          <a:p>
            <a:pPr algn="ctr"/>
            <a:fld id="{F825DBFA-2F3B-4AB1-976D-7026BAA0BF88}" type="TxLink">
              <a:rPr lang="en-US" sz="2000" b="1" i="0" u="none" strike="noStrike">
                <a:solidFill>
                  <a:srgbClr val="000000"/>
                </a:solidFill>
                <a:latin typeface="+mn-lt"/>
                <a:cs typeface="Calibri"/>
              </a:rPr>
              <a:pPr algn="ctr"/>
              <a:t>6</a:t>
            </a:fld>
            <a:endParaRPr lang="en-US" sz="2000" b="1">
              <a:latin typeface="+mn-lt"/>
            </a:endParaRPr>
          </a:p>
        </xdr:txBody>
      </xdr:sp>
    </xdr:grpSp>
    <xdr:clientData/>
  </xdr:twoCellAnchor>
  <xdr:twoCellAnchor editAs="absolute">
    <xdr:from>
      <xdr:col>0</xdr:col>
      <xdr:colOff>180975</xdr:colOff>
      <xdr:row>9</xdr:row>
      <xdr:rowOff>129658</xdr:rowOff>
    </xdr:from>
    <xdr:to>
      <xdr:col>6</xdr:col>
      <xdr:colOff>495300</xdr:colOff>
      <xdr:row>21</xdr:row>
      <xdr:rowOff>53457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676277</xdr:colOff>
      <xdr:row>9</xdr:row>
      <xdr:rowOff>86794</xdr:rowOff>
    </xdr:from>
    <xdr:to>
      <xdr:col>15</xdr:col>
      <xdr:colOff>509587</xdr:colOff>
      <xdr:row>21</xdr:row>
      <xdr:rowOff>96321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5248277" y="1801294"/>
          <a:ext cx="6691310" cy="2295527"/>
          <a:chOff x="523875" y="1257300"/>
          <a:chExt cx="6691310" cy="2584878"/>
        </a:xfrm>
      </xdr:grpSpPr>
      <xdr:graphicFrame macro="">
        <xdr:nvGraphicFramePr>
          <xdr:cNvPr id="29" name="Gráfico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GraphicFramePr>
            <a:graphicFrameLocks/>
          </xdr:cNvGraphicFramePr>
        </xdr:nvGraphicFramePr>
        <xdr:xfrm>
          <a:off x="523875" y="1257300"/>
          <a:ext cx="6648450" cy="25336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35" name="Fecha">
                <a:extLst>
                  <a:ext uri="{FF2B5EF4-FFF2-40B4-BE49-F238E27FC236}">
                    <a16:creationId xmlns:a16="http://schemas.microsoft.com/office/drawing/2014/main" id="{00000000-0008-0000-0000-000023000000}"/>
                  </a:ext>
                </a:extLst>
              </xdr:cNvPr>
              <xdr:cNvGraphicFramePr/>
            </xdr:nvGraphicFramePr>
            <xdr:xfrm>
              <a:off x="1109660" y="2769614"/>
              <a:ext cx="6105525" cy="1072564"/>
            </xdr:xfrm>
            <a:graphic>
              <a:graphicData uri="http://schemas.microsoft.com/office/drawing/2012/timeslicer">
                <tsle:timeslicer name="Fecha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5834062" y="3144320"/>
                <a:ext cx="6105525" cy="95250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AR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onzalo Acevedo" refreshedDate="45546.533631018516" backgroundQuery="1" createdVersion="7" refreshedVersion="7" minRefreshableVersion="3" recordCount="0" supportSubquery="1" supportAdvancedDrill="1" xr:uid="{E11D53DE-EB62-4DC0-A2F2-945A18085D16}">
  <cacheSource type="external" connectionId="1"/>
  <cacheFields count="2">
    <cacheField name="[TblProductos].[Descripcion].[Descripcion]" caption="Descripcion" numFmtId="0" hierarchy="2" level="1">
      <sharedItems count="9">
        <s v="ALICATE MULTIHERRAMIENTA TITANX"/>
        <s v="CINTA DE AISLAMIENTO PROTAPE"/>
        <s v="CINTA MÉTRICA FLEXIMEASURE"/>
        <s v="ESCUADRA DE CARPINTERO EXACTA"/>
        <s v="JUEGO DE DESTORNILLADORES PRECISIONMAX"/>
        <s v="KIT DE BROCAS POWERDRILL"/>
        <s v="LLAVE INGLESA MEGAGRIP"/>
        <s v="PINTURA ANTICORROSIVA RUSTGUARD"/>
        <s v="TALADRO INALÁMBRICO PROX"/>
      </sharedItems>
    </cacheField>
    <cacheField name="[Measures].[Recuento de Codigo]" caption="Recuento de Codigo" numFmtId="0" hierarchy="21" level="32767"/>
  </cacheFields>
  <cacheHierarchies count="27">
    <cacheHierarchy uniqueName="[TblProductos].[Codigo]" caption="Codigo" attribute="1" defaultMemberUniqueName="[TblProductos].[Codigo].[All]" allUniqueName="[TblProductos].[Codigo].[All]" dimensionUniqueName="[TblProductos]" displayFolder="" count="0" memberValueDatatype="130" unbalanced="0"/>
    <cacheHierarchy uniqueName="[TblProductos].[Fecha]" caption="Fecha" attribute="1" time="1" defaultMemberUniqueName="[TblProductos].[Fecha].[All]" allUniqueName="[TblProductos].[Fecha].[All]" dimensionUniqueName="[TblProductos]" displayFolder="" count="0" memberValueDatatype="7" unbalanced="0"/>
    <cacheHierarchy uniqueName="[TblProductos].[Descripcion]" caption="Descripcion" attribute="1" defaultMemberUniqueName="[TblProductos].[Descripcion].[All]" allUniqueName="[TblProductos].[Descripcion].[All]" dimensionUniqueName="[TblProductos]" displayFolder="" count="2" memberValueDatatype="130" unbalanced="0">
      <fieldsUsage count="2">
        <fieldUsage x="-1"/>
        <fieldUsage x="0"/>
      </fieldsUsage>
    </cacheHierarchy>
    <cacheHierarchy uniqueName="[TblProductos].[Categoria]" caption="Categoria" attribute="1" defaultMemberUniqueName="[TblProductos].[Categoria].[All]" allUniqueName="[TblProductos].[Categoria].[All]" dimensionUniqueName="[TblProductos]" displayFolder="" count="0" memberValueDatatype="130" unbalanced="0"/>
    <cacheHierarchy uniqueName="[TblProductos].[Unidades]" caption="Unidades" attribute="1" defaultMemberUniqueName="[TblProductos].[Unidades].[All]" allUniqueName="[TblProductos].[Unidades].[All]" dimensionUniqueName="[TblProductos]" displayFolder="" count="0" memberValueDatatype="20" unbalanced="0"/>
    <cacheHierarchy uniqueName="[TblProductos].[PCosto]" caption="PCosto" attribute="1" defaultMemberUniqueName="[TblProductos].[PCosto].[All]" allUniqueName="[TblProductos].[PCosto].[All]" dimensionUniqueName="[TblProductos]" displayFolder="" count="0" memberValueDatatype="20" unbalanced="0"/>
    <cacheHierarchy uniqueName="[TblVentas].[ID]" caption="ID" attribute="1" defaultMemberUniqueName="[TblVentas].[ID].[All]" allUniqueName="[TblVentas].[ID].[All]" dimensionUniqueName="[TblVentas]" displayFolder="" count="0" memberValueDatatype="20" unbalanced="0"/>
    <cacheHierarchy uniqueName="[TblVentas].[IDTicket]" caption="IDTicket" attribute="1" defaultMemberUniqueName="[TblVentas].[IDTicket].[All]" allUniqueName="[TblVentas].[IDTicket].[All]" dimensionUniqueName="[TblVentas]" displayFolder="" count="0" memberValueDatatype="20" unbalanced="0"/>
    <cacheHierarchy uniqueName="[TblVentas].[Fecha]" caption="Fecha" attribute="1" time="1" defaultMemberUniqueName="[TblVentas].[Fecha].[All]" allUniqueName="[TblVentas].[Fecha].[All]" dimensionUniqueName="[TblVentas]" displayFolder="" count="0" memberValueDatatype="7" unbalanced="0"/>
    <cacheHierarchy uniqueName="[TblVentas].[Hora]" caption="Hora" attribute="1" time="1" defaultMemberUniqueName="[TblVentas].[Hora].[All]" allUniqueName="[TblVentas].[Hora].[All]" dimensionUniqueName="[TblVentas]" displayFolder="" count="0" memberValueDatatype="7" unbalanced="0"/>
    <cacheHierarchy uniqueName="[TblVentas].[Codigo]" caption="Codigo" attribute="1" defaultMemberUniqueName="[TblVentas].[Codigo].[All]" allUniqueName="[TblVentas].[Codigo].[All]" dimensionUniqueName="[TblVentas]" displayFolder="" count="0" memberValueDatatype="130" unbalanced="0"/>
    <cacheHierarchy uniqueName="[TblVentas].[MetodoPago]" caption="MetodoPago" attribute="1" defaultMemberUniqueName="[TblVentas].[MetodoPago].[All]" allUniqueName="[TblVentas].[MetodoPago].[All]" dimensionUniqueName="[TblVentas]" displayFolder="" count="0" memberValueDatatype="130" unbalanced="0"/>
    <cacheHierarchy uniqueName="[TblVentas].[Interes]" caption="Interes" attribute="1" defaultMemberUniqueName="[TblVentas].[Interes].[All]" allUniqueName="[TblVentas].[Interes].[All]" dimensionUniqueName="[TblVentas]" displayFolder="" count="0" memberValueDatatype="5" unbalanced="0"/>
    <cacheHierarchy uniqueName="[TblVentas].[PUnit]" caption="PUnit" attribute="1" defaultMemberUniqueName="[TblVentas].[PUnit].[All]" allUniqueName="[TblVentas].[PUnit].[All]" dimensionUniqueName="[TblVentas]" displayFolder="" count="0" memberValueDatatype="20" unbalanced="0"/>
    <cacheHierarchy uniqueName="[TblVentas].[Fecha (mes)]" caption="Fecha (mes)" attribute="1" defaultMemberUniqueName="[TblVentas].[Fecha (mes)].[All]" allUniqueName="[TblVentas].[Fecha (mes)].[All]" dimensionUniqueName="[TblVentas]" displayFolder="" count="0" memberValueDatatype="130" unbalanced="0"/>
    <cacheHierarchy uniqueName="[TblVentas].[Fecha (índice de meses)]" caption="Fecha (índice de meses)" attribute="1" defaultMemberUniqueName="[TblVentas].[Fecha (índice de meses)].[All]" allUniqueName="[TblVentas].[Fecha (índice de meses)].[All]" dimensionUniqueName="[TblVentas]" displayFolder="" count="0" memberValueDatatype="20" unbalanced="0" hidden="1"/>
    <cacheHierarchy uniqueName="[Measures].[__XL_Count TblVentas]" caption="__XL_Count TblVentas" measure="1" displayFolder="" measureGroup="TblVentas" count="0" hidden="1"/>
    <cacheHierarchy uniqueName="[Measures].[__XL_Count TblProductos]" caption="__XL_Count TblProductos" measure="1" displayFolder="" measureGroup="TblProductos" count="0" hidden="1"/>
    <cacheHierarchy uniqueName="[Measures].[__No measures defined]" caption="__No measures defined" measure="1" displayFolder="" count="0" hidden="1"/>
    <cacheHierarchy uniqueName="[Measures].[Suma de ID]" caption="Suma de ID" measure="1" displayFolder="" measureGroup="TblVenta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Recuento de Descripcion]" caption="Recuento de Descripcion" measure="1" displayFolder="" measureGroup="TblProducto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Codigo]" caption="Recuento de Codigo" measure="1" displayFolder="" measureGroup="TblVenta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Recuento de Fecha]" caption="Recuento de Fecha" measure="1" displayFolder="" measureGroup="TblVenta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PUnit]" caption="Suma de PUnit" measure="1" displayFolder="" measureGroup="TblVenta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Unidades]" caption="Suma de Unidades" measure="1" displayFolder="" measureGroup="TblProducto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a de IDTicket]" caption="Suma de IDTicket" measure="1" displayFolder="" measureGroup="TblVenta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e ID]" caption="Recuento de ID" measure="1" displayFolder="" measureGroup="TblVenta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3">
    <dimension measure="1" name="Measures" uniqueName="[Measures]" caption="Measures"/>
    <dimension name="TblProductos" uniqueName="[TblProductos]" caption="TblProductos"/>
    <dimension name="TblVentas" uniqueName="[TblVentas]" caption="TblVentas"/>
  </dimensions>
  <measureGroups count="2">
    <measureGroup name="TblProductos" caption="TblProductos"/>
    <measureGroup name="TblVentas" caption="TblVentas"/>
  </measureGroups>
  <maps count="3">
    <map measureGroup="0" dimension="1"/>
    <map measureGroup="1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onzalo Acevedo" refreshedDate="45546.533633680556" backgroundQuery="1" createdVersion="7" refreshedVersion="7" minRefreshableVersion="3" recordCount="0" supportSubquery="1" supportAdvancedDrill="1" xr:uid="{6E45B181-AFE4-413C-BDD5-E6983A3B9AE9}">
  <cacheSource type="external" connectionId="1"/>
  <cacheFields count="2">
    <cacheField name="[TblVentas].[Fecha].[Fecha]" caption="Fecha" numFmtId="0" hierarchy="8" level="1">
      <sharedItems containsSemiMixedTypes="0" containsNonDate="0" containsDate="1" containsString="0" minDate="2024-09-06T00:00:00" maxDate="2024-09-12T00:00:00" count="5">
        <d v="2024-09-06T00:00:00"/>
        <d v="2024-09-07T00:00:00"/>
        <d v="2024-09-09T00:00:00"/>
        <d v="2024-09-10T00:00:00"/>
        <d v="2024-09-11T00:00:00"/>
      </sharedItems>
    </cacheField>
    <cacheField name="[Measures].[Suma de PUnit]" caption="Suma de PUnit" numFmtId="0" hierarchy="23" level="32767"/>
  </cacheFields>
  <cacheHierarchies count="27">
    <cacheHierarchy uniqueName="[TblProductos].[Codigo]" caption="Codigo" attribute="1" defaultMemberUniqueName="[TblProductos].[Codigo].[All]" allUniqueName="[TblProductos].[Codigo].[All]" dimensionUniqueName="[TblProductos]" displayFolder="" count="0" memberValueDatatype="130" unbalanced="0"/>
    <cacheHierarchy uniqueName="[TblProductos].[Fecha]" caption="Fecha" attribute="1" time="1" defaultMemberUniqueName="[TblProductos].[Fecha].[All]" allUniqueName="[TblProductos].[Fecha].[All]" dimensionUniqueName="[TblProductos]" displayFolder="" count="0" memberValueDatatype="7" unbalanced="0"/>
    <cacheHierarchy uniqueName="[TblProductos].[Descripcion]" caption="Descripcion" attribute="1" defaultMemberUniqueName="[TblProductos].[Descripcion].[All]" allUniqueName="[TblProductos].[Descripcion].[All]" dimensionUniqueName="[TblProductos]" displayFolder="" count="0" memberValueDatatype="130" unbalanced="0"/>
    <cacheHierarchy uniqueName="[TblProductos].[Categoria]" caption="Categoria" attribute="1" defaultMemberUniqueName="[TblProductos].[Categoria].[All]" allUniqueName="[TblProductos].[Categoria].[All]" dimensionUniqueName="[TblProductos]" displayFolder="" count="0" memberValueDatatype="130" unbalanced="0"/>
    <cacheHierarchy uniqueName="[TblProductos].[Unidades]" caption="Unidades" attribute="1" defaultMemberUniqueName="[TblProductos].[Unidades].[All]" allUniqueName="[TblProductos].[Unidades].[All]" dimensionUniqueName="[TblProductos]" displayFolder="" count="0" memberValueDatatype="20" unbalanced="0"/>
    <cacheHierarchy uniqueName="[TblProductos].[PCosto]" caption="PCosto" attribute="1" defaultMemberUniqueName="[TblProductos].[PCosto].[All]" allUniqueName="[TblProductos].[PCosto].[All]" dimensionUniqueName="[TblProductos]" displayFolder="" count="0" memberValueDatatype="20" unbalanced="0"/>
    <cacheHierarchy uniqueName="[TblVentas].[ID]" caption="ID" attribute="1" defaultMemberUniqueName="[TblVentas].[ID].[All]" allUniqueName="[TblVentas].[ID].[All]" dimensionUniqueName="[TblVentas]" displayFolder="" count="0" memberValueDatatype="20" unbalanced="0"/>
    <cacheHierarchy uniqueName="[TblVentas].[IDTicket]" caption="IDTicket" attribute="1" defaultMemberUniqueName="[TblVentas].[IDTicket].[All]" allUniqueName="[TblVentas].[IDTicket].[All]" dimensionUniqueName="[TblVentas]" displayFolder="" count="0" memberValueDatatype="20" unbalanced="0"/>
    <cacheHierarchy uniqueName="[TblVentas].[Fecha]" caption="Fecha" attribute="1" time="1" defaultMemberUniqueName="[TblVentas].[Fecha].[All]" allUniqueName="[TblVentas].[Fecha].[All]" dimensionUniqueName="[TblVentas]" displayFolder="" count="2" memberValueDatatype="7" unbalanced="0">
      <fieldsUsage count="2">
        <fieldUsage x="-1"/>
        <fieldUsage x="0"/>
      </fieldsUsage>
    </cacheHierarchy>
    <cacheHierarchy uniqueName="[TblVentas].[Hora]" caption="Hora" attribute="1" time="1" defaultMemberUniqueName="[TblVentas].[Hora].[All]" allUniqueName="[TblVentas].[Hora].[All]" dimensionUniqueName="[TblVentas]" displayFolder="" count="0" memberValueDatatype="7" unbalanced="0"/>
    <cacheHierarchy uniqueName="[TblVentas].[Codigo]" caption="Codigo" attribute="1" defaultMemberUniqueName="[TblVentas].[Codigo].[All]" allUniqueName="[TblVentas].[Codigo].[All]" dimensionUniqueName="[TblVentas]" displayFolder="" count="0" memberValueDatatype="130" unbalanced="0"/>
    <cacheHierarchy uniqueName="[TblVentas].[MetodoPago]" caption="MetodoPago" attribute="1" defaultMemberUniqueName="[TblVentas].[MetodoPago].[All]" allUniqueName="[TblVentas].[MetodoPago].[All]" dimensionUniqueName="[TblVentas]" displayFolder="" count="0" memberValueDatatype="130" unbalanced="0"/>
    <cacheHierarchy uniqueName="[TblVentas].[Interes]" caption="Interes" attribute="1" defaultMemberUniqueName="[TblVentas].[Interes].[All]" allUniqueName="[TblVentas].[Interes].[All]" dimensionUniqueName="[TblVentas]" displayFolder="" count="0" memberValueDatatype="5" unbalanced="0"/>
    <cacheHierarchy uniqueName="[TblVentas].[PUnit]" caption="PUnit" attribute="1" defaultMemberUniqueName="[TblVentas].[PUnit].[All]" allUniqueName="[TblVentas].[PUnit].[All]" dimensionUniqueName="[TblVentas]" displayFolder="" count="0" memberValueDatatype="20" unbalanced="0"/>
    <cacheHierarchy uniqueName="[TblVentas].[Fecha (mes)]" caption="Fecha (mes)" attribute="1" defaultMemberUniqueName="[TblVentas].[Fecha (mes)].[All]" allUniqueName="[TblVentas].[Fecha (mes)].[All]" dimensionUniqueName="[TblVentas]" displayFolder="" count="0" memberValueDatatype="130" unbalanced="0"/>
    <cacheHierarchy uniqueName="[TblVentas].[Fecha (índice de meses)]" caption="Fecha (índice de meses)" attribute="1" defaultMemberUniqueName="[TblVentas].[Fecha (índice de meses)].[All]" allUniqueName="[TblVentas].[Fecha (índice de meses)].[All]" dimensionUniqueName="[TblVentas]" displayFolder="" count="0" memberValueDatatype="20" unbalanced="0" hidden="1"/>
    <cacheHierarchy uniqueName="[Measures].[__XL_Count TblVentas]" caption="__XL_Count TblVentas" measure="1" displayFolder="" measureGroup="TblVentas" count="0" hidden="1"/>
    <cacheHierarchy uniqueName="[Measures].[__XL_Count TblProductos]" caption="__XL_Count TblProductos" measure="1" displayFolder="" measureGroup="TblProductos" count="0" hidden="1"/>
    <cacheHierarchy uniqueName="[Measures].[__No measures defined]" caption="__No measures defined" measure="1" displayFolder="" count="0" hidden="1"/>
    <cacheHierarchy uniqueName="[Measures].[Suma de ID]" caption="Suma de ID" measure="1" displayFolder="" measureGroup="TblVenta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Recuento de Descripcion]" caption="Recuento de Descripcion" measure="1" displayFolder="" measureGroup="TblProducto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Codigo]" caption="Recuento de Codigo" measure="1" displayFolder="" measureGroup="TblVenta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Recuento de Fecha]" caption="Recuento de Fecha" measure="1" displayFolder="" measureGroup="TblVenta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PUnit]" caption="Suma de PUnit" measure="1" displayFolder="" measureGroup="TblVenta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Unidades]" caption="Suma de Unidades" measure="1" displayFolder="" measureGroup="TblProducto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a de IDTicket]" caption="Suma de IDTicket" measure="1" displayFolder="" measureGroup="TblVenta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e ID]" caption="Recuento de ID" measure="1" displayFolder="" measureGroup="TblVenta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3">
    <dimension measure="1" name="Measures" uniqueName="[Measures]" caption="Measures"/>
    <dimension name="TblProductos" uniqueName="[TblProductos]" caption="TblProductos"/>
    <dimension name="TblVentas" uniqueName="[TblVentas]" caption="TblVentas"/>
  </dimensions>
  <measureGroups count="2">
    <measureGroup name="TblProductos" caption="TblProductos"/>
    <measureGroup name="TblVentas" caption="TblVentas"/>
  </measureGroups>
  <maps count="3">
    <map measureGroup="0" dimension="1"/>
    <map measureGroup="1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onzalo Acevedo" refreshedDate="45546.533634837964" backgroundQuery="1" createdVersion="7" refreshedVersion="7" minRefreshableVersion="3" recordCount="0" supportSubquery="1" supportAdvancedDrill="1" xr:uid="{A85DDCDA-5523-4300-BC9E-F6408153D594}">
  <cacheSource type="external" connectionId="1"/>
  <cacheFields count="3">
    <cacheField name="[TblProductos].[Codigo].[Codigo]" caption="Codigo" numFmtId="0" level="1">
      <sharedItems count="1">
        <s v="ASD13"/>
      </sharedItems>
    </cacheField>
    <cacheField name="[TblProductos].[Descripcion].[Descripcion]" caption="Descripcion" numFmtId="0" hierarchy="2" level="1">
      <sharedItems count="1">
        <s v="TALADRO INALÁMBRICO PROX"/>
      </sharedItems>
    </cacheField>
    <cacheField name="[TblProductos].[Unidades].[Unidades]" caption="Unidades" numFmtId="0" hierarchy="4" level="1">
      <sharedItems containsSemiMixedTypes="0" containsString="0" containsNumber="1" containsInteger="1" minValue="0" maxValue="0" count="1">
        <n v="0"/>
      </sharedItems>
      <extLst>
        <ext xmlns:x15="http://schemas.microsoft.com/office/spreadsheetml/2010/11/main" uri="{4F2E5C28-24EA-4eb8-9CBF-B6C8F9C3D259}">
          <x15:cachedUniqueNames>
            <x15:cachedUniqueName index="0" name="[TblProductos].[Unidades].&amp;[0]"/>
          </x15:cachedUniqueNames>
        </ext>
      </extLst>
    </cacheField>
  </cacheFields>
  <cacheHierarchies count="27">
    <cacheHierarchy uniqueName="[TblProductos].[Codigo]" caption="Codigo" attribute="1" defaultMemberUniqueName="[TblProductos].[Codigo].[All]" allUniqueName="[TblProductos].[Codigo].[All]" dimensionUniqueName="[TblProductos]" displayFolder="" count="2" memberValueDatatype="130" unbalanced="0">
      <fieldsUsage count="2">
        <fieldUsage x="-1"/>
        <fieldUsage x="0"/>
      </fieldsUsage>
    </cacheHierarchy>
    <cacheHierarchy uniqueName="[TblProductos].[Fecha]" caption="Fecha" attribute="1" time="1" defaultMemberUniqueName="[TblProductos].[Fecha].[All]" allUniqueName="[TblProductos].[Fecha].[All]" dimensionUniqueName="[TblProductos]" displayFolder="" count="0" memberValueDatatype="7" unbalanced="0"/>
    <cacheHierarchy uniqueName="[TblProductos].[Descripcion]" caption="Descripcion" attribute="1" defaultMemberUniqueName="[TblProductos].[Descripcion].[All]" allUniqueName="[TblProductos].[Descripcion].[All]" dimensionUniqueName="[TblProductos]" displayFolder="" count="2" memberValueDatatype="130" unbalanced="0">
      <fieldsUsage count="2">
        <fieldUsage x="-1"/>
        <fieldUsage x="1"/>
      </fieldsUsage>
    </cacheHierarchy>
    <cacheHierarchy uniqueName="[TblProductos].[Categoria]" caption="Categoria" attribute="1" defaultMemberUniqueName="[TblProductos].[Categoria].[All]" allUniqueName="[TblProductos].[Categoria].[All]" dimensionUniqueName="[TblProductos]" displayFolder="" count="0" memberValueDatatype="130" unbalanced="0"/>
    <cacheHierarchy uniqueName="[TblProductos].[Unidades]" caption="Unidades" attribute="1" defaultMemberUniqueName="[TblProductos].[Unidades].[All]" allUniqueName="[TblProductos].[Unidades].[All]" dimensionUniqueName="[TblProductos]" displayFolder="" count="2" memberValueDatatype="20" unbalanced="0">
      <fieldsUsage count="2">
        <fieldUsage x="-1"/>
        <fieldUsage x="2"/>
      </fieldsUsage>
    </cacheHierarchy>
    <cacheHierarchy uniqueName="[TblProductos].[PCosto]" caption="PCosto" attribute="1" defaultMemberUniqueName="[TblProductos].[PCosto].[All]" allUniqueName="[TblProductos].[PCosto].[All]" dimensionUniqueName="[TblProductos]" displayFolder="" count="0" memberValueDatatype="20" unbalanced="0"/>
    <cacheHierarchy uniqueName="[TblVentas].[ID]" caption="ID" attribute="1" defaultMemberUniqueName="[TblVentas].[ID].[All]" allUniqueName="[TblVentas].[ID].[All]" dimensionUniqueName="[TblVentas]" displayFolder="" count="0" memberValueDatatype="20" unbalanced="0"/>
    <cacheHierarchy uniqueName="[TblVentas].[IDTicket]" caption="IDTicket" attribute="1" defaultMemberUniqueName="[TblVentas].[IDTicket].[All]" allUniqueName="[TblVentas].[IDTicket].[All]" dimensionUniqueName="[TblVentas]" displayFolder="" count="0" memberValueDatatype="20" unbalanced="0"/>
    <cacheHierarchy uniqueName="[TblVentas].[Fecha]" caption="Fecha" attribute="1" time="1" defaultMemberUniqueName="[TblVentas].[Fecha].[All]" allUniqueName="[TblVentas].[Fecha].[All]" dimensionUniqueName="[TblVentas]" displayFolder="" count="0" memberValueDatatype="7" unbalanced="0"/>
    <cacheHierarchy uniqueName="[TblVentas].[Hora]" caption="Hora" attribute="1" time="1" defaultMemberUniqueName="[TblVentas].[Hora].[All]" allUniqueName="[TblVentas].[Hora].[All]" dimensionUniqueName="[TblVentas]" displayFolder="" count="0" memberValueDatatype="7" unbalanced="0"/>
    <cacheHierarchy uniqueName="[TblVentas].[Codigo]" caption="Codigo" attribute="1" defaultMemberUniqueName="[TblVentas].[Codigo].[All]" allUniqueName="[TblVentas].[Codigo].[All]" dimensionUniqueName="[TblVentas]" displayFolder="" count="0" memberValueDatatype="130" unbalanced="0"/>
    <cacheHierarchy uniqueName="[TblVentas].[MetodoPago]" caption="MetodoPago" attribute="1" defaultMemberUniqueName="[TblVentas].[MetodoPago].[All]" allUniqueName="[TblVentas].[MetodoPago].[All]" dimensionUniqueName="[TblVentas]" displayFolder="" count="0" memberValueDatatype="130" unbalanced="0"/>
    <cacheHierarchy uniqueName="[TblVentas].[Interes]" caption="Interes" attribute="1" defaultMemberUniqueName="[TblVentas].[Interes].[All]" allUniqueName="[TblVentas].[Interes].[All]" dimensionUniqueName="[TblVentas]" displayFolder="" count="0" memberValueDatatype="5" unbalanced="0"/>
    <cacheHierarchy uniqueName="[TblVentas].[PUnit]" caption="PUnit" attribute="1" defaultMemberUniqueName="[TblVentas].[PUnit].[All]" allUniqueName="[TblVentas].[PUnit].[All]" dimensionUniqueName="[TblVentas]" displayFolder="" count="0" memberValueDatatype="20" unbalanced="0"/>
    <cacheHierarchy uniqueName="[TblVentas].[Fecha (mes)]" caption="Fecha (mes)" attribute="1" defaultMemberUniqueName="[TblVentas].[Fecha (mes)].[All]" allUniqueName="[TblVentas].[Fecha (mes)].[All]" dimensionUniqueName="[TblVentas]" displayFolder="" count="0" memberValueDatatype="130" unbalanced="0"/>
    <cacheHierarchy uniqueName="[TblVentas].[Fecha (índice de meses)]" caption="Fecha (índice de meses)" attribute="1" defaultMemberUniqueName="[TblVentas].[Fecha (índice de meses)].[All]" allUniqueName="[TblVentas].[Fecha (índice de meses)].[All]" dimensionUniqueName="[TblVentas]" displayFolder="" count="0" memberValueDatatype="20" unbalanced="0" hidden="1"/>
    <cacheHierarchy uniqueName="[Measures].[__XL_Count TblVentas]" caption="__XL_Count TblVentas" measure="1" displayFolder="" measureGroup="TblVentas" count="0" hidden="1"/>
    <cacheHierarchy uniqueName="[Measures].[__XL_Count TblProductos]" caption="__XL_Count TblProductos" measure="1" displayFolder="" measureGroup="TblProductos" count="0" hidden="1"/>
    <cacheHierarchy uniqueName="[Measures].[__No measures defined]" caption="__No measures defined" measure="1" displayFolder="" count="0" hidden="1"/>
    <cacheHierarchy uniqueName="[Measures].[Suma de ID]" caption="Suma de ID" measure="1" displayFolder="" measureGroup="TblVenta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Recuento de Descripcion]" caption="Recuento de Descripcion" measure="1" displayFolder="" measureGroup="TblProducto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Codigo]" caption="Recuento de Codigo" measure="1" displayFolder="" measureGroup="TblVenta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Recuento de Fecha]" caption="Recuento de Fecha" measure="1" displayFolder="" measureGroup="TblVenta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PUnit]" caption="Suma de PUnit" measure="1" displayFolder="" measureGroup="TblVenta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Unidades]" caption="Suma de Unidades" measure="1" displayFolder="" measureGroup="TblProducto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a de IDTicket]" caption="Suma de IDTicket" measure="1" displayFolder="" measureGroup="TblVenta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e ID]" caption="Recuento de ID" measure="1" displayFolder="" measureGroup="TblVenta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3">
    <dimension measure="1" name="Measures" uniqueName="[Measures]" caption="Measures"/>
    <dimension name="TblProductos" uniqueName="[TblProductos]" caption="TblProductos"/>
    <dimension name="TblVentas" uniqueName="[TblVentas]" caption="TblVentas"/>
  </dimensions>
  <measureGroups count="2">
    <measureGroup name="TblProductos" caption="TblProductos"/>
    <measureGroup name="TblVentas" caption="TblVentas"/>
  </measureGroups>
  <maps count="3">
    <map measureGroup="0" dimension="1"/>
    <map measureGroup="1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onzalo Acevedo" refreshedDate="45546.533631944447" backgroundQuery="1" createdVersion="3" refreshedVersion="7" minRefreshableVersion="3" recordCount="0" supportSubquery="1" supportAdvancedDrill="1" xr:uid="{319F36B1-55BE-4224-B00F-2B4DC4E974B8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27">
    <cacheHierarchy uniqueName="[TblProductos].[Codigo]" caption="Codigo" attribute="1" defaultMemberUniqueName="[TblProductos].[Codigo].[All]" allUniqueName="[TblProductos].[Codigo].[All]" dimensionUniqueName="[TblProductos]" displayFolder="" count="0" memberValueDatatype="130" unbalanced="0"/>
    <cacheHierarchy uniqueName="[TblProductos].[Fecha]" caption="Fecha" attribute="1" time="1" defaultMemberUniqueName="[TblProductos].[Fecha].[All]" allUniqueName="[TblProductos].[Fecha].[All]" dimensionUniqueName="[TblProductos]" displayFolder="" count="0" memberValueDatatype="7" unbalanced="0"/>
    <cacheHierarchy uniqueName="[TblProductos].[Descripcion]" caption="Descripcion" attribute="1" defaultMemberUniqueName="[TblProductos].[Descripcion].[All]" allUniqueName="[TblProductos].[Descripcion].[All]" dimensionUniqueName="[TblProductos]" displayFolder="" count="0" memberValueDatatype="130" unbalanced="0"/>
    <cacheHierarchy uniqueName="[TblProductos].[Categoria]" caption="Categoria" attribute="1" defaultMemberUniqueName="[TblProductos].[Categoria].[All]" allUniqueName="[TblProductos].[Categoria].[All]" dimensionUniqueName="[TblProductos]" displayFolder="" count="0" memberValueDatatype="130" unbalanced="0"/>
    <cacheHierarchy uniqueName="[TblProductos].[Unidades]" caption="Unidades" attribute="1" defaultMemberUniqueName="[TblProductos].[Unidades].[All]" allUniqueName="[TblProductos].[Unidades].[All]" dimensionUniqueName="[TblProductos]" displayFolder="" count="0" memberValueDatatype="20" unbalanced="0"/>
    <cacheHierarchy uniqueName="[TblProductos].[PCosto]" caption="PCosto" attribute="1" defaultMemberUniqueName="[TblProductos].[PCosto].[All]" allUniqueName="[TblProductos].[PCosto].[All]" dimensionUniqueName="[TblProductos]" displayFolder="" count="0" memberValueDatatype="20" unbalanced="0"/>
    <cacheHierarchy uniqueName="[TblVentas].[ID]" caption="ID" attribute="1" defaultMemberUniqueName="[TblVentas].[ID].[All]" allUniqueName="[TblVentas].[ID].[All]" dimensionUniqueName="[TblVentas]" displayFolder="" count="0" memberValueDatatype="20" unbalanced="0"/>
    <cacheHierarchy uniqueName="[TblVentas].[IDTicket]" caption="IDTicket" attribute="1" defaultMemberUniqueName="[TblVentas].[IDTicket].[All]" allUniqueName="[TblVentas].[IDTicket].[All]" dimensionUniqueName="[TblVentas]" displayFolder="" count="0" memberValueDatatype="20" unbalanced="0"/>
    <cacheHierarchy uniqueName="[TblVentas].[Fecha]" caption="Fecha" attribute="1" time="1" defaultMemberUniqueName="[TblVentas].[Fecha].[All]" allUniqueName="[TblVentas].[Fecha].[All]" dimensionUniqueName="[TblVentas]" displayFolder="" count="2" memberValueDatatype="7" unbalanced="0"/>
    <cacheHierarchy uniqueName="[TblVentas].[Hora]" caption="Hora" attribute="1" time="1" defaultMemberUniqueName="[TblVentas].[Hora].[All]" allUniqueName="[TblVentas].[Hora].[All]" dimensionUniqueName="[TblVentas]" displayFolder="" count="0" memberValueDatatype="7" unbalanced="0"/>
    <cacheHierarchy uniqueName="[TblVentas].[Codigo]" caption="Codigo" attribute="1" defaultMemberUniqueName="[TblVentas].[Codigo].[All]" allUniqueName="[TblVentas].[Codigo].[All]" dimensionUniqueName="[TblVentas]" displayFolder="" count="0" memberValueDatatype="130" unbalanced="0"/>
    <cacheHierarchy uniqueName="[TblVentas].[MetodoPago]" caption="MetodoPago" attribute="1" defaultMemberUniqueName="[TblVentas].[MetodoPago].[All]" allUniqueName="[TblVentas].[MetodoPago].[All]" dimensionUniqueName="[TblVentas]" displayFolder="" count="0" memberValueDatatype="130" unbalanced="0"/>
    <cacheHierarchy uniqueName="[TblVentas].[Interes]" caption="Interes" attribute="1" defaultMemberUniqueName="[TblVentas].[Interes].[All]" allUniqueName="[TblVentas].[Interes].[All]" dimensionUniqueName="[TblVentas]" displayFolder="" count="0" memberValueDatatype="5" unbalanced="0"/>
    <cacheHierarchy uniqueName="[TblVentas].[PUnit]" caption="PUnit" attribute="1" defaultMemberUniqueName="[TblVentas].[PUnit].[All]" allUniqueName="[TblVentas].[PUnit].[All]" dimensionUniqueName="[TblVentas]" displayFolder="" count="0" memberValueDatatype="20" unbalanced="0"/>
    <cacheHierarchy uniqueName="[TblVentas].[Fecha (mes)]" caption="Fecha (mes)" attribute="1" defaultMemberUniqueName="[TblVentas].[Fecha (mes)].[All]" allUniqueName="[TblVentas].[Fecha (mes)].[All]" dimensionUniqueName="[TblVentas]" displayFolder="" count="0" memberValueDatatype="130" unbalanced="0"/>
    <cacheHierarchy uniqueName="[TblVentas].[Fecha (índice de meses)]" caption="Fecha (índice de meses)" attribute="1" defaultMemberUniqueName="[TblVentas].[Fecha (índice de meses)].[All]" allUniqueName="[TblVentas].[Fecha (índice de meses)].[All]" dimensionUniqueName="[TblVentas]" displayFolder="" count="0" memberValueDatatype="20" unbalanced="0" hidden="1"/>
    <cacheHierarchy uniqueName="[Measures].[__XL_Count TblVentas]" caption="__XL_Count TblVentas" measure="1" displayFolder="" measureGroup="TblVentas" count="0" hidden="1"/>
    <cacheHierarchy uniqueName="[Measures].[__XL_Count TblProductos]" caption="__XL_Count TblProductos" measure="1" displayFolder="" measureGroup="TblProductos" count="0" hidden="1"/>
    <cacheHierarchy uniqueName="[Measures].[__No measures defined]" caption="__No measures defined" measure="1" displayFolder="" count="0" hidden="1"/>
    <cacheHierarchy uniqueName="[Measures].[Suma de ID]" caption="Suma de ID" measure="1" displayFolder="" measureGroup="TblVenta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Recuento de Descripcion]" caption="Recuento de Descripcion" measure="1" displayFolder="" measureGroup="TblProducto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Codigo]" caption="Recuento de Codigo" measure="1" displayFolder="" measureGroup="TblVenta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Recuento de Fecha]" caption="Recuento de Fecha" measure="1" displayFolder="" measureGroup="TblVenta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PUnit]" caption="Suma de PUnit" measure="1" displayFolder="" measureGroup="TblVenta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Unidades]" caption="Suma de Unidades" measure="1" displayFolder="" measureGroup="TblProducto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a de IDTicket]" caption="Suma de IDTicket" measure="1" displayFolder="" measureGroup="TblVenta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e ID]" caption="Recuento de ID" measure="1" displayFolder="" measureGroup="TblVenta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extLst>
    <ext xmlns:x14="http://schemas.microsoft.com/office/spreadsheetml/2009/9/main" uri="{725AE2AE-9491-48be-B2B4-4EB974FC3084}">
      <x14:pivotCacheDefinition pivotCacheId="700014375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813888-8587-4539-9428-84C66CCDECAE}" name="TablaDinámica3" cacheId="0" applyNumberFormats="0" applyBorderFormats="0" applyFontFormats="0" applyPatternFormats="0" applyAlignmentFormats="0" applyWidthHeightFormats="1" dataCaption="Valores" updatedVersion="7" minRefreshableVersion="3" showDrill="0" useAutoFormatting="1" subtotalHiddenItems="1" rowGrandTotals="0" itemPrintTitles="1" createdVersion="7" indent="0" outline="1" outlineData="1" chartFormat="3">
  <location ref="H3:I12" firstHeaderRow="1" firstDataRow="1" firstDataCol="1"/>
  <pivotFields count="2">
    <pivotField axis="axisRow" allDrilled="1" showAll="0" measureFilter="1" sortType="ascending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9">
    <i>
      <x v="7"/>
    </i>
    <i>
      <x v="3"/>
    </i>
    <i>
      <x v="4"/>
    </i>
    <i>
      <x v="5"/>
    </i>
    <i>
      <x v="6"/>
    </i>
    <i>
      <x v="1"/>
    </i>
    <i>
      <x v="8"/>
    </i>
    <i>
      <x/>
    </i>
    <i>
      <x v="2"/>
    </i>
  </rowItems>
  <colItems count="1">
    <i/>
  </colItems>
  <dataFields count="1">
    <dataField name="Cantidad" fld="1" subtotal="count" baseField="0" baseItem="0"/>
  </dataFields>
  <chartFormats count="1"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2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Recuento"/>
    <pivotHierarchy dragToData="1"/>
    <pivotHierarchy dragToData="1"/>
    <pivotHierarchy dragToData="1"/>
    <pivotHierarchy dragToData="1"/>
    <pivotHierarchy dragToData="1"/>
  </pivotHierarchies>
  <pivotTableStyleInfo name="PivotStyleMedium10" showRowHeaders="0" showColHeaders="1" showRowStripes="1" showColStripes="1" showLastColumn="1"/>
  <filters count="1">
    <filter fld="0" type="count" id="19" iMeasureHier="21">
      <autoFilter ref="A1">
        <filterColumn colId="0">
          <top10 val="10" filterVal="10"/>
        </filterColumn>
      </autoFilter>
    </filter>
  </filters>
  <rowHierarchiesUsage count="1"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TblVentas]"/>
        <x15:activeTabTopLevelEntity name="[TblProduc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19726D-5142-47A8-831F-02115BB5EEE4}" name="TbldOutStock" cacheId="2" applyNumberFormats="0" applyBorderFormats="0" applyFontFormats="0" applyPatternFormats="0" applyAlignmentFormats="0" applyWidthHeightFormats="1" dataCaption="Valores" updatedVersion="7" minRefreshableVersion="3" showDrill="0" subtotalHiddenItems="1" rowGrandTotals="0" colGrandTotals="0" itemPrintTitles="1" createdVersion="7" indent="0" compact="0" compactData="0" multipleFieldFilters="0">
  <location ref="K3:M4" firstHeaderRow="1" firstDataRow="1" firstDataCol="3"/>
  <pivotFields count="3"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measureFilter="1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nidades"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1">
    <i>
      <x/>
      <x/>
      <x/>
    </i>
  </rowItems>
  <formats count="1">
    <format dxfId="0">
      <pivotArea field="2" type="button" dataOnly="0" labelOnly="1" outline="0" axis="axisRow" fieldPosition="2"/>
    </format>
  </formats>
  <pivotHierarchies count="2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Ventas"/>
  </pivotHierarchies>
  <pivotTableStyleInfo name="PivotStyleMedium10" showRowHeaders="0" showColHeaders="1" showRowStripes="1" showColStripes="1" showLastColumn="1"/>
  <filters count="1">
    <filter fld="1" type="valueEqual" id="1" iMeasureHier="24">
      <autoFilter ref="A1">
        <filterColumn colId="0">
          <customFilters>
            <customFilter val="0"/>
          </customFilters>
        </filterColumn>
      </autoFilter>
    </filter>
  </filters>
  <rowHierarchiesUsage count="3">
    <rowHierarchyUsage hierarchyUsage="0"/>
    <rowHierarchyUsage hierarchyUsage="2"/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15="http://schemas.microsoft.com/office/spreadsheetml/2010/11/main" uri="{E67621CE-5B39-4880-91FE-76760E9C1902}">
      <x15:pivotTableUISettings>
        <x15:activeTabTopLevelEntity name="[TblProductos]"/>
        <x15:activeTabTopLevelEntity name="[TblVent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634798-F419-48BB-8A7A-1BB949B63047}" name="TablaDinámica1" cacheId="1" applyNumberFormats="0" applyBorderFormats="0" applyFontFormats="0" applyPatternFormats="0" applyAlignmentFormats="0" applyWidthHeightFormats="1" dataCaption="Valores" updatedVersion="7" minRefreshableVersion="5" showDrill="0" subtotalHiddenItems="1" rowGrandTotals="0" colGrandTotals="0" itemPrintTitles="1" createdVersion="7" indent="0" compact="0" compactData="0" multipleFieldFilters="0" chartFormat="4">
  <location ref="E3:F8" firstHeaderRow="1" firstDataRow="1" firstDataCol="1"/>
  <pivotFields count="2">
    <pivotField axis="axisRow" compact="0" allDrilled="1" outline="0" subtotalTop="0" showAll="0" sortType="ascending" defaultSubtotal="0" defaultAttributeDrillState="1">
      <items count="5">
        <item x="0"/>
        <item x="1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5">
    <i>
      <x/>
    </i>
    <i>
      <x v="1"/>
    </i>
    <i>
      <x v="2"/>
    </i>
    <i>
      <x v="3"/>
    </i>
    <i>
      <x v="4"/>
    </i>
  </rowItems>
  <colItems count="1">
    <i/>
  </colItems>
  <dataFields count="1">
    <dataField name="Suma de Venta" fld="1" baseField="0" baseItem="0" numFmtId="166"/>
  </dataFields>
  <formats count="1">
    <format>
      <pivotArea outline="0" fieldPosition="0">
        <references count="1">
          <reference field="0" count="1" selected="0">
            <x v="1048832"/>
          </reference>
        </references>
      </pivotArea>
    </format>
  </format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2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Suma de Venta"/>
    <pivotHierarchy dragToData="1"/>
    <pivotHierarchy dragToData="1"/>
    <pivotHierarchy dragToData="1"/>
  </pivotHierarchies>
  <pivotTableStyleInfo name="PivotStyleMedium14" showRowHeaders="0" showColHeaders="1" showRowStripes="1" showColStripes="1" showLastColumn="1"/>
  <filters count="1">
    <filter fld="0" type="dateBetween" evalOrder="-1" id="40" name="[TblVentas].[Fecha]">
      <autoFilter ref="A1">
        <filterColumn colId="0">
          <customFilters and="1">
            <customFilter operator="greaterThanOrEqual" val="45323"/>
            <customFilter operator="lessThanOrEqual" val="4562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8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TblVentas]"/>
        <x15:activeTabTopLevelEntity name="[TblProduc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3E05D8-CE54-4EDE-B11A-8D0A2578A5B5}" name="TblVentas" displayName="TblVentas" ref="A1:H22">
  <autoFilter ref="A1:H22" xr:uid="{2B3E05D8-CE54-4EDE-B11A-8D0A2578A5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D513754-B3E6-4700-B580-3A7572B24F84}" name="ID" totalsRowLabel="Total" dataDxfId="14"/>
    <tableColumn id="2" xr3:uid="{D17227B4-0B7B-4A51-BD51-6D2155E2C27C}" name="IDTicket" dataDxfId="13"/>
    <tableColumn id="8" xr3:uid="{FB4E463A-D0F0-4ADB-9037-C1E6CD9BD68A}" name="Fecha" dataDxfId="12"/>
    <tableColumn id="3" xr3:uid="{CB8F488F-68D2-49DE-8B1A-92CC9F7C6B67}" name="Hora" dataDxfId="11"/>
    <tableColumn id="5" xr3:uid="{1E87231A-8DDA-4666-B6DF-E59F3B5CD748}" name="Codigo" dataDxfId="10"/>
    <tableColumn id="4" xr3:uid="{E43636EF-3BF2-4CE8-BB93-EDD4664E2A5D}" name="MetodoPago" dataDxfId="9"/>
    <tableColumn id="6" xr3:uid="{D6E57F7F-C909-4699-B2DF-576AF01A86E5}" name="Interes" dataDxfId="8"/>
    <tableColumn id="7" xr3:uid="{5BCE6430-5117-4F8D-9181-695E4C3DC25D}" name="PUnit" totalsRowFunction="count" dataDxfId="7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885540-AB0A-4822-BE20-58C423DCCC41}" name="TblProductos" displayName="TblProductos" ref="A1:F11">
  <autoFilter ref="A1:F11" xr:uid="{10885540-AB0A-4822-BE20-58C423DCCC4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649AC7F9-8494-4F40-AD1E-61682031500F}" name="Codigo" totalsRowLabel="Total" dataDxfId="6"/>
    <tableColumn id="2" xr3:uid="{800A3B02-4B12-41DD-9129-F67188C68B3F}" name="Fecha" dataDxfId="5"/>
    <tableColumn id="3" xr3:uid="{5CC7CFB6-55DD-4A8A-93E3-56C65AA4E9E8}" name="Descripcion" dataDxfId="4"/>
    <tableColumn id="6" xr3:uid="{A38B901C-F057-467F-A04B-33B99C1F6785}" name="Categoria" dataDxfId="3"/>
    <tableColumn id="4" xr3:uid="{CB028D3B-3675-4EAF-B727-B1790AF9BB18}" name="Unidades" dataDxfId="2"/>
    <tableColumn id="5" xr3:uid="{C6EB5219-FE88-431F-9666-E68497667D10}" name="PCosto" totalsRowFunction="sum" dataDxfId="1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imeline_Fecha" xr10:uid="{A165AE42-65D5-45BC-BA07-70308459B478}" sourceName="[TblVentas].[Fecha]">
  <pivotTables>
    <pivotTable tabId="8" name="TablaDinámica1"/>
  </pivotTables>
  <state minimalRefreshVersion="6" lastRefreshVersion="6" pivotCacheId="700014375" filterType="dateBetween">
    <selection startDate="2024-02-01T00:00:00" endDate="2024-11-30T00:00:00"/>
    <bounds startDate="2024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66CD6174-15F7-4007-BCCD-88D1CDCC8832}" cache="Timeline_Fecha" caption="Fecha" showHeader="0" showSelectionLabel="0" showTimeLevel="0" showHorizontalScrollbar="0" level="2" selectionLevel="2" scrollPosition="2024-01-01T00:00:00" style="TimeSlicerStyleDark2 2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1/relationships/timeline" Target="../timelines/timelin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E77F4-1715-440F-84A0-3B625144305D}">
  <sheetPr codeName="Hoja1"/>
  <dimension ref="A1"/>
  <sheetViews>
    <sheetView showGridLines="0" tabSelected="1" workbookViewId="0"/>
  </sheetViews>
  <sheetFormatPr baseColWidth="10" defaultRowHeight="15" x14ac:dyDescent="0.25"/>
  <sheetData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TextBoxTax">
          <controlPr defaultSize="0" autoLine="0" r:id="rId5">
            <anchor>
              <from>
                <xdr:col>9</xdr:col>
                <xdr:colOff>504825</xdr:colOff>
                <xdr:row>1</xdr:row>
                <xdr:rowOff>123825</xdr:rowOff>
              </from>
              <to>
                <xdr:col>10</xdr:col>
                <xdr:colOff>514350</xdr:colOff>
                <xdr:row>3</xdr:row>
                <xdr:rowOff>152400</xdr:rowOff>
              </to>
            </anchor>
          </controlPr>
        </control>
      </mc:Choice>
      <mc:Fallback>
        <control shapeId="1029" r:id="rId4" name="TextBoxTax"/>
      </mc:Fallback>
    </mc:AlternateContent>
  </controls>
  <extLs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F84B1-B0CB-4D00-87AD-287356AC8744}">
  <sheetPr codeName="Hoja2"/>
  <dimension ref="A1:H22"/>
  <sheetViews>
    <sheetView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2" width="10" customWidth="1"/>
    <col min="3" max="3" width="13.42578125" customWidth="1"/>
    <col min="4" max="4" width="8.28515625" customWidth="1"/>
    <col min="5" max="5" width="12.42578125" customWidth="1"/>
    <col min="6" max="6" width="18.28515625" customWidth="1"/>
    <col min="7" max="7" width="9.5703125" customWidth="1"/>
    <col min="8" max="8" width="19.5703125" customWidth="1"/>
  </cols>
  <sheetData>
    <row r="1" spans="1:8" x14ac:dyDescent="0.25">
      <c r="A1" t="s">
        <v>11</v>
      </c>
      <c r="B1" t="s">
        <v>17</v>
      </c>
      <c r="C1" t="s">
        <v>12</v>
      </c>
      <c r="D1" t="s">
        <v>13</v>
      </c>
      <c r="E1" t="s">
        <v>14</v>
      </c>
      <c r="F1" t="s">
        <v>10</v>
      </c>
      <c r="G1" t="s">
        <v>15</v>
      </c>
      <c r="H1" t="s">
        <v>16</v>
      </c>
    </row>
    <row r="2" spans="1:8" x14ac:dyDescent="0.25">
      <c r="A2" s="5">
        <v>38</v>
      </c>
      <c r="B2" s="11">
        <v>23</v>
      </c>
      <c r="C2" s="6">
        <v>45546</v>
      </c>
      <c r="D2" s="7">
        <v>0.53333333333333333</v>
      </c>
      <c r="E2" s="7" t="s">
        <v>21</v>
      </c>
      <c r="F2" s="12" t="s">
        <v>23</v>
      </c>
      <c r="G2" s="8">
        <v>0.7</v>
      </c>
      <c r="H2" s="9">
        <v>40800</v>
      </c>
    </row>
    <row r="3" spans="1:8" x14ac:dyDescent="0.25">
      <c r="A3" s="5">
        <v>37</v>
      </c>
      <c r="B3" s="11">
        <v>22</v>
      </c>
      <c r="C3" s="6">
        <v>45546</v>
      </c>
      <c r="D3" s="7">
        <v>0.53263888888888888</v>
      </c>
      <c r="E3" s="7" t="s">
        <v>0</v>
      </c>
      <c r="F3" s="12" t="s">
        <v>22</v>
      </c>
      <c r="G3" s="8">
        <v>0.7</v>
      </c>
      <c r="H3" s="9">
        <v>13600</v>
      </c>
    </row>
    <row r="4" spans="1:8" x14ac:dyDescent="0.25">
      <c r="A4" s="5">
        <v>36</v>
      </c>
      <c r="B4" s="11">
        <v>21</v>
      </c>
      <c r="C4" s="6">
        <v>45546</v>
      </c>
      <c r="D4" s="7">
        <v>0.53263888888888888</v>
      </c>
      <c r="E4" s="7" t="s">
        <v>21</v>
      </c>
      <c r="F4" s="12" t="s">
        <v>22</v>
      </c>
      <c r="G4" s="8">
        <v>0.7</v>
      </c>
      <c r="H4" s="9">
        <v>40800</v>
      </c>
    </row>
    <row r="5" spans="1:8" x14ac:dyDescent="0.25">
      <c r="A5" s="5">
        <v>35</v>
      </c>
      <c r="B5" s="11">
        <v>20</v>
      </c>
      <c r="C5" s="6">
        <v>45546</v>
      </c>
      <c r="D5" s="7">
        <v>0.49861111111111112</v>
      </c>
      <c r="E5" s="7" t="s">
        <v>6</v>
      </c>
      <c r="F5" s="12" t="s">
        <v>22</v>
      </c>
      <c r="G5" s="8">
        <v>0.7</v>
      </c>
      <c r="H5" s="9">
        <v>16150</v>
      </c>
    </row>
    <row r="6" spans="1:8" x14ac:dyDescent="0.25">
      <c r="A6" s="5">
        <v>34</v>
      </c>
      <c r="B6" s="11">
        <v>19</v>
      </c>
      <c r="C6" s="6">
        <v>45546</v>
      </c>
      <c r="D6" s="7">
        <v>0.47638888888888886</v>
      </c>
      <c r="E6" s="7" t="s">
        <v>4</v>
      </c>
      <c r="F6" s="12" t="s">
        <v>23</v>
      </c>
      <c r="G6" s="8">
        <v>0.7</v>
      </c>
      <c r="H6" s="9">
        <v>3400</v>
      </c>
    </row>
    <row r="7" spans="1:8" x14ac:dyDescent="0.25">
      <c r="A7" s="5">
        <v>33</v>
      </c>
      <c r="B7" s="11">
        <v>18</v>
      </c>
      <c r="C7" s="6">
        <v>45546</v>
      </c>
      <c r="D7" s="7">
        <v>7.1527777777777773E-2</v>
      </c>
      <c r="E7" s="7" t="s">
        <v>21</v>
      </c>
      <c r="F7" s="12" t="s">
        <v>22</v>
      </c>
      <c r="G7" s="8">
        <v>0.7</v>
      </c>
      <c r="H7" s="9">
        <v>40800</v>
      </c>
    </row>
    <row r="8" spans="1:8" x14ac:dyDescent="0.25">
      <c r="A8" s="5">
        <v>32</v>
      </c>
      <c r="B8" s="11">
        <v>17</v>
      </c>
      <c r="C8" s="6">
        <v>45545</v>
      </c>
      <c r="D8" s="7">
        <v>0.12083333333333333</v>
      </c>
      <c r="E8" s="7" t="s">
        <v>8</v>
      </c>
      <c r="F8" s="12" t="s">
        <v>22</v>
      </c>
      <c r="G8" s="8">
        <v>0.7</v>
      </c>
      <c r="H8" s="9">
        <v>20400</v>
      </c>
    </row>
    <row r="9" spans="1:8" x14ac:dyDescent="0.25">
      <c r="A9" s="5">
        <v>31</v>
      </c>
      <c r="B9" s="11">
        <v>17</v>
      </c>
      <c r="C9" s="6">
        <v>45545</v>
      </c>
      <c r="D9" s="7">
        <v>0.12083333333333333</v>
      </c>
      <c r="E9" s="7" t="s">
        <v>0</v>
      </c>
      <c r="F9" s="12" t="s">
        <v>22</v>
      </c>
      <c r="G9" s="8">
        <v>0.7</v>
      </c>
      <c r="H9" s="9">
        <v>13600</v>
      </c>
    </row>
    <row r="10" spans="1:8" x14ac:dyDescent="0.25">
      <c r="A10" s="5">
        <v>30</v>
      </c>
      <c r="B10" s="11">
        <v>16</v>
      </c>
      <c r="C10" s="6">
        <v>45545</v>
      </c>
      <c r="D10" s="7">
        <v>0.11874999999999999</v>
      </c>
      <c r="E10" s="7" t="s">
        <v>1</v>
      </c>
      <c r="F10" s="12" t="s">
        <v>22</v>
      </c>
      <c r="G10" s="8">
        <v>0.7</v>
      </c>
      <c r="H10" s="9">
        <v>9350</v>
      </c>
    </row>
    <row r="11" spans="1:8" x14ac:dyDescent="0.25">
      <c r="A11" s="5">
        <v>29</v>
      </c>
      <c r="B11" s="11">
        <v>15</v>
      </c>
      <c r="C11" s="6">
        <v>45544</v>
      </c>
      <c r="D11" s="7">
        <v>0.84236111111111112</v>
      </c>
      <c r="E11" s="7" t="s">
        <v>0</v>
      </c>
      <c r="F11" s="12" t="s">
        <v>52</v>
      </c>
      <c r="G11" s="8">
        <v>0.7</v>
      </c>
      <c r="H11" s="9">
        <v>13600</v>
      </c>
    </row>
    <row r="12" spans="1:8" x14ac:dyDescent="0.25">
      <c r="A12" s="5">
        <v>27</v>
      </c>
      <c r="B12" s="11">
        <v>15</v>
      </c>
      <c r="C12" s="6">
        <v>45544</v>
      </c>
      <c r="D12" s="7">
        <v>0.84236111111111112</v>
      </c>
      <c r="E12" s="7" t="s">
        <v>1</v>
      </c>
      <c r="F12" s="12" t="s">
        <v>52</v>
      </c>
      <c r="G12" s="8">
        <v>0.7</v>
      </c>
      <c r="H12" s="9">
        <v>9350</v>
      </c>
    </row>
    <row r="13" spans="1:8" x14ac:dyDescent="0.25">
      <c r="A13" s="5">
        <v>26</v>
      </c>
      <c r="B13" s="11">
        <v>14</v>
      </c>
      <c r="C13" s="6">
        <v>45544</v>
      </c>
      <c r="D13" s="7">
        <v>0.84027777777777779</v>
      </c>
      <c r="E13" s="7" t="s">
        <v>1</v>
      </c>
      <c r="F13" s="12" t="s">
        <v>22</v>
      </c>
      <c r="G13" s="8">
        <v>0.7</v>
      </c>
      <c r="H13" s="9">
        <v>9350</v>
      </c>
    </row>
    <row r="14" spans="1:8" x14ac:dyDescent="0.25">
      <c r="A14" s="5">
        <v>25</v>
      </c>
      <c r="B14" s="11">
        <v>13</v>
      </c>
      <c r="C14" s="6">
        <v>45544</v>
      </c>
      <c r="D14" s="7">
        <v>0.82777777777777772</v>
      </c>
      <c r="E14" s="7" t="s">
        <v>2</v>
      </c>
      <c r="F14" s="12" t="s">
        <v>22</v>
      </c>
      <c r="G14" s="8">
        <v>0.7</v>
      </c>
      <c r="H14" s="9">
        <v>20400</v>
      </c>
    </row>
    <row r="15" spans="1:8" x14ac:dyDescent="0.25">
      <c r="A15" s="5">
        <v>24</v>
      </c>
      <c r="B15" s="11">
        <v>13</v>
      </c>
      <c r="C15" s="6">
        <v>45544</v>
      </c>
      <c r="D15" s="7">
        <v>0.82777777777777772</v>
      </c>
      <c r="E15" s="7" t="s">
        <v>3</v>
      </c>
      <c r="F15" s="12" t="s">
        <v>22</v>
      </c>
      <c r="G15" s="8">
        <v>0.7</v>
      </c>
      <c r="H15" s="9">
        <v>8500</v>
      </c>
    </row>
    <row r="16" spans="1:8" x14ac:dyDescent="0.25">
      <c r="A16" s="5">
        <v>23</v>
      </c>
      <c r="B16" s="11">
        <v>13</v>
      </c>
      <c r="C16" s="6">
        <v>45544</v>
      </c>
      <c r="D16" s="7">
        <v>0.82777777777777772</v>
      </c>
      <c r="E16" s="7" t="s">
        <v>8</v>
      </c>
      <c r="F16" s="12" t="s">
        <v>22</v>
      </c>
      <c r="G16" s="8">
        <v>0.7</v>
      </c>
      <c r="H16" s="9">
        <v>20400</v>
      </c>
    </row>
    <row r="17" spans="1:8" x14ac:dyDescent="0.25">
      <c r="A17" s="5">
        <v>22</v>
      </c>
      <c r="B17" s="11">
        <v>12</v>
      </c>
      <c r="C17" s="6">
        <v>45544</v>
      </c>
      <c r="D17" s="7">
        <v>0.37708333333333333</v>
      </c>
      <c r="E17" s="7" t="s">
        <v>0</v>
      </c>
      <c r="F17" s="12" t="s">
        <v>22</v>
      </c>
      <c r="G17" s="8">
        <v>0.7</v>
      </c>
      <c r="H17" s="9">
        <v>13600</v>
      </c>
    </row>
    <row r="18" spans="1:8" x14ac:dyDescent="0.25">
      <c r="A18" s="5">
        <v>20</v>
      </c>
      <c r="B18" s="11">
        <v>12</v>
      </c>
      <c r="C18" s="6">
        <v>45544</v>
      </c>
      <c r="D18" s="7">
        <v>0.37708333333333333</v>
      </c>
      <c r="E18" s="7" t="s">
        <v>1</v>
      </c>
      <c r="F18" s="12" t="s">
        <v>22</v>
      </c>
      <c r="G18" s="8">
        <v>0.7</v>
      </c>
      <c r="H18" s="9">
        <v>9350</v>
      </c>
    </row>
    <row r="19" spans="1:8" x14ac:dyDescent="0.25">
      <c r="A19" s="5">
        <v>19</v>
      </c>
      <c r="B19" s="11">
        <v>11</v>
      </c>
      <c r="C19" s="6">
        <v>45542</v>
      </c>
      <c r="D19" s="7">
        <v>0.56805555555555554</v>
      </c>
      <c r="E19" s="7" t="s">
        <v>2</v>
      </c>
      <c r="F19" t="s">
        <v>52</v>
      </c>
      <c r="G19" s="8">
        <v>0.7</v>
      </c>
      <c r="H19" s="9">
        <v>20400</v>
      </c>
    </row>
    <row r="20" spans="1:8" x14ac:dyDescent="0.25">
      <c r="A20" s="5">
        <v>18</v>
      </c>
      <c r="B20" s="11">
        <v>10</v>
      </c>
      <c r="C20" s="6">
        <v>45542</v>
      </c>
      <c r="D20" s="7">
        <v>0.56805555555555554</v>
      </c>
      <c r="E20" s="7" t="s">
        <v>4</v>
      </c>
      <c r="F20" s="23" t="s">
        <v>23</v>
      </c>
      <c r="G20" s="8">
        <v>0.7</v>
      </c>
      <c r="H20" s="9">
        <v>3400</v>
      </c>
    </row>
    <row r="21" spans="1:8" x14ac:dyDescent="0.25">
      <c r="A21" s="5">
        <v>17</v>
      </c>
      <c r="B21" s="11">
        <v>10</v>
      </c>
      <c r="C21" s="6">
        <v>45542</v>
      </c>
      <c r="D21" s="7">
        <v>0.56805555555555554</v>
      </c>
      <c r="E21" s="7" t="s">
        <v>5</v>
      </c>
      <c r="F21" s="23" t="s">
        <v>23</v>
      </c>
      <c r="G21" s="8">
        <v>0.7</v>
      </c>
      <c r="H21" s="9">
        <v>17170</v>
      </c>
    </row>
    <row r="22" spans="1:8" x14ac:dyDescent="0.25">
      <c r="A22" s="5">
        <v>16</v>
      </c>
      <c r="B22" s="11">
        <v>9</v>
      </c>
      <c r="C22" s="6">
        <v>45541</v>
      </c>
      <c r="D22" s="7">
        <v>0.67847222222222225</v>
      </c>
      <c r="E22" s="7" t="s">
        <v>6</v>
      </c>
      <c r="F22" t="s">
        <v>22</v>
      </c>
      <c r="G22" s="8">
        <v>0.7</v>
      </c>
      <c r="H22" s="9">
        <v>16150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B8BA6-26B5-487F-9BB6-D8C25CF14A30}">
  <sheetPr codeName="Hoja3"/>
  <dimension ref="A1:F11"/>
  <sheetViews>
    <sheetView zoomScaleNormal="100" workbookViewId="0">
      <pane ySplit="1" topLeftCell="A2" activePane="bottomLeft" state="frozen"/>
      <selection pane="bottomLeft"/>
    </sheetView>
  </sheetViews>
  <sheetFormatPr baseColWidth="10" defaultRowHeight="15" x14ac:dyDescent="0.25"/>
  <cols>
    <col min="3" max="3" width="47.85546875" customWidth="1"/>
    <col min="4" max="4" width="44.28515625" bestFit="1" customWidth="1"/>
    <col min="5" max="5" width="9.140625" bestFit="1" customWidth="1"/>
    <col min="6" max="6" width="17.42578125" customWidth="1"/>
  </cols>
  <sheetData>
    <row r="1" spans="1:6" x14ac:dyDescent="0.25">
      <c r="A1" t="s">
        <v>14</v>
      </c>
      <c r="B1" t="s">
        <v>12</v>
      </c>
      <c r="C1" t="s">
        <v>18</v>
      </c>
      <c r="D1" t="s">
        <v>9</v>
      </c>
      <c r="E1" t="s">
        <v>19</v>
      </c>
      <c r="F1" t="s">
        <v>20</v>
      </c>
    </row>
    <row r="2" spans="1:6" x14ac:dyDescent="0.25">
      <c r="A2" s="10" t="s">
        <v>21</v>
      </c>
      <c r="B2" s="2">
        <v>45542</v>
      </c>
      <c r="C2" s="3" t="s">
        <v>32</v>
      </c>
      <c r="D2" s="3" t="s">
        <v>42</v>
      </c>
      <c r="E2" s="3">
        <v>0</v>
      </c>
      <c r="F2" s="4">
        <v>24000</v>
      </c>
    </row>
    <row r="3" spans="1:6" x14ac:dyDescent="0.25">
      <c r="A3" s="1" t="s">
        <v>8</v>
      </c>
      <c r="B3" s="2">
        <v>45539</v>
      </c>
      <c r="C3" s="3" t="s">
        <v>33</v>
      </c>
      <c r="D3" s="3" t="s">
        <v>43</v>
      </c>
      <c r="E3" s="3">
        <v>6</v>
      </c>
      <c r="F3" s="4">
        <v>12000</v>
      </c>
    </row>
    <row r="4" spans="1:6" x14ac:dyDescent="0.25">
      <c r="A4" s="1" t="s">
        <v>0</v>
      </c>
      <c r="B4" s="2">
        <v>45539</v>
      </c>
      <c r="C4" s="3" t="s">
        <v>34</v>
      </c>
      <c r="D4" s="3" t="s">
        <v>44</v>
      </c>
      <c r="E4" s="3">
        <v>6</v>
      </c>
      <c r="F4" s="4">
        <v>8000</v>
      </c>
    </row>
    <row r="5" spans="1:6" x14ac:dyDescent="0.25">
      <c r="A5" s="1" t="s">
        <v>1</v>
      </c>
      <c r="B5" s="2">
        <v>45422</v>
      </c>
      <c r="C5" s="3" t="s">
        <v>35</v>
      </c>
      <c r="D5" s="3" t="s">
        <v>45</v>
      </c>
      <c r="E5" s="3">
        <v>2</v>
      </c>
      <c r="F5" s="4">
        <v>5500</v>
      </c>
    </row>
    <row r="6" spans="1:6" x14ac:dyDescent="0.25">
      <c r="A6" s="1" t="s">
        <v>2</v>
      </c>
      <c r="B6" s="2">
        <v>45422</v>
      </c>
      <c r="C6" s="3" t="s">
        <v>36</v>
      </c>
      <c r="D6" s="3" t="s">
        <v>46</v>
      </c>
      <c r="E6" s="3">
        <v>11</v>
      </c>
      <c r="F6" s="4">
        <v>12000</v>
      </c>
    </row>
    <row r="7" spans="1:6" x14ac:dyDescent="0.25">
      <c r="A7" s="1" t="s">
        <v>3</v>
      </c>
      <c r="B7" s="2">
        <v>45422</v>
      </c>
      <c r="C7" s="3" t="s">
        <v>37</v>
      </c>
      <c r="D7" s="3" t="s">
        <v>47</v>
      </c>
      <c r="E7" s="3">
        <v>5</v>
      </c>
      <c r="F7" s="4">
        <v>5000</v>
      </c>
    </row>
    <row r="8" spans="1:6" x14ac:dyDescent="0.25">
      <c r="A8" s="1" t="s">
        <v>4</v>
      </c>
      <c r="B8" s="2">
        <v>45422</v>
      </c>
      <c r="C8" s="3" t="s">
        <v>38</v>
      </c>
      <c r="D8" s="3" t="s">
        <v>48</v>
      </c>
      <c r="E8" s="3">
        <v>12</v>
      </c>
      <c r="F8" s="4">
        <v>2000</v>
      </c>
    </row>
    <row r="9" spans="1:6" x14ac:dyDescent="0.25">
      <c r="A9" s="1" t="s">
        <v>5</v>
      </c>
      <c r="B9" s="2">
        <v>45422</v>
      </c>
      <c r="C9" s="3" t="s">
        <v>39</v>
      </c>
      <c r="D9" s="3" t="s">
        <v>49</v>
      </c>
      <c r="E9" s="3">
        <v>2</v>
      </c>
      <c r="F9" s="4">
        <v>10100</v>
      </c>
    </row>
    <row r="10" spans="1:6" x14ac:dyDescent="0.25">
      <c r="A10" s="1" t="s">
        <v>6</v>
      </c>
      <c r="B10" s="2">
        <v>45422</v>
      </c>
      <c r="C10" s="3" t="s">
        <v>40</v>
      </c>
      <c r="D10" s="3" t="s">
        <v>50</v>
      </c>
      <c r="E10" s="3">
        <v>1</v>
      </c>
      <c r="F10" s="4">
        <v>9500</v>
      </c>
    </row>
    <row r="11" spans="1:6" x14ac:dyDescent="0.25">
      <c r="A11" s="1" t="s">
        <v>7</v>
      </c>
      <c r="B11" s="2">
        <v>45422</v>
      </c>
      <c r="C11" s="3" t="s">
        <v>41</v>
      </c>
      <c r="D11" s="3" t="s">
        <v>51</v>
      </c>
      <c r="E11" s="3">
        <v>18</v>
      </c>
      <c r="F11" s="4">
        <v>4000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DD876-900C-4C17-9898-184F1FC05BBD}">
  <sheetPr codeName="Hoja4"/>
  <dimension ref="B1:O18"/>
  <sheetViews>
    <sheetView zoomScaleNormal="100" workbookViewId="0"/>
  </sheetViews>
  <sheetFormatPr baseColWidth="10" defaultRowHeight="15" x14ac:dyDescent="0.25"/>
  <cols>
    <col min="1" max="1" width="3" customWidth="1"/>
    <col min="2" max="3" width="15.7109375" customWidth="1"/>
    <col min="4" max="4" width="3" customWidth="1"/>
    <col min="5" max="5" width="12" customWidth="1"/>
    <col min="6" max="6" width="19.85546875" customWidth="1"/>
    <col min="7" max="7" width="3" customWidth="1"/>
    <col min="8" max="8" width="42.42578125" bestFit="1" customWidth="1"/>
    <col min="9" max="9" width="8.85546875" bestFit="1" customWidth="1"/>
    <col min="10" max="10" width="3" customWidth="1"/>
    <col min="11" max="11" width="10.7109375" customWidth="1"/>
    <col min="12" max="12" width="42.42578125" bestFit="1" customWidth="1"/>
    <col min="13" max="13" width="11.7109375" bestFit="1" customWidth="1"/>
    <col min="14" max="14" width="7.140625" bestFit="1" customWidth="1"/>
  </cols>
  <sheetData>
    <row r="1" spans="2:15" x14ac:dyDescent="0.25">
      <c r="B1" s="17" t="s">
        <v>24</v>
      </c>
      <c r="C1" s="17"/>
      <c r="E1" s="22" t="s">
        <v>30</v>
      </c>
      <c r="F1" s="22"/>
      <c r="H1" s="15" t="s">
        <v>29</v>
      </c>
      <c r="I1" s="15"/>
      <c r="K1" s="15" t="s">
        <v>31</v>
      </c>
      <c r="L1" s="15"/>
      <c r="M1" s="27" cm="1">
        <f t="array" ref="M1">COUNT(IF(TblProductos[Unidades]=0,1))</f>
        <v>1</v>
      </c>
    </row>
    <row r="2" spans="2:15" x14ac:dyDescent="0.25">
      <c r="B2" s="18" cm="1">
        <f t="array" aca="1" ref="B2" ca="1">SUM(IF(TblVentas[Fecha]=TODAY(), TblVentas[PUnit], 0))</f>
        <v>155550</v>
      </c>
      <c r="C2" s="17"/>
    </row>
    <row r="3" spans="2:15" x14ac:dyDescent="0.25">
      <c r="C3" s="16"/>
      <c r="E3" s="14" t="s">
        <v>12</v>
      </c>
      <c r="F3" t="s">
        <v>54</v>
      </c>
      <c r="H3" s="14" t="s">
        <v>28</v>
      </c>
      <c r="I3" t="s">
        <v>27</v>
      </c>
      <c r="K3" s="14" t="s">
        <v>14</v>
      </c>
      <c r="L3" s="14" t="s">
        <v>18</v>
      </c>
      <c r="M3" s="26" t="s">
        <v>19</v>
      </c>
      <c r="O3" s="24"/>
    </row>
    <row r="4" spans="2:15" x14ac:dyDescent="0.25">
      <c r="B4" s="17" t="s">
        <v>25</v>
      </c>
      <c r="C4" s="17"/>
      <c r="E4" s="20">
        <v>45541</v>
      </c>
      <c r="F4" s="25">
        <v>16150</v>
      </c>
      <c r="H4" s="21" t="s">
        <v>37</v>
      </c>
      <c r="I4" s="13">
        <v>1</v>
      </c>
      <c r="K4" t="s">
        <v>21</v>
      </c>
      <c r="L4" t="s">
        <v>32</v>
      </c>
      <c r="M4">
        <v>0</v>
      </c>
    </row>
    <row r="5" spans="2:15" x14ac:dyDescent="0.25">
      <c r="B5" s="18" cm="1">
        <f t="array" aca="1" ref="B5" ca="1">SUM(IF(MONTH(TblVentas[Fecha])=MONTH(TODAY()), TblVentas[PUnit], 0))</f>
        <v>360570</v>
      </c>
      <c r="C5" s="17"/>
      <c r="E5" s="20">
        <v>45542</v>
      </c>
      <c r="F5" s="25">
        <v>40970</v>
      </c>
      <c r="H5" s="21" t="s">
        <v>39</v>
      </c>
      <c r="I5" s="13">
        <v>1</v>
      </c>
    </row>
    <row r="6" spans="2:15" x14ac:dyDescent="0.25">
      <c r="B6" s="16"/>
      <c r="C6" s="16"/>
      <c r="E6" s="20">
        <v>45544</v>
      </c>
      <c r="F6" s="25">
        <v>104550</v>
      </c>
      <c r="H6" s="21" t="s">
        <v>33</v>
      </c>
      <c r="I6" s="13">
        <v>2</v>
      </c>
    </row>
    <row r="7" spans="2:15" x14ac:dyDescent="0.25">
      <c r="B7" s="17" t="s">
        <v>53</v>
      </c>
      <c r="C7" s="17"/>
      <c r="E7" s="20">
        <v>45545</v>
      </c>
      <c r="F7" s="25">
        <v>43350</v>
      </c>
      <c r="H7" s="21" t="s">
        <v>36</v>
      </c>
      <c r="I7" s="13">
        <v>2</v>
      </c>
    </row>
    <row r="8" spans="2:15" x14ac:dyDescent="0.25">
      <c r="B8" s="19" cm="1">
        <f t="array" aca="1" ref="B8" ca="1">COUNT(_xlfn.UNIQUE(IF(TblVentas[Fecha]=TODAY(),TblVentas[IDTicket])))</f>
        <v>6</v>
      </c>
      <c r="C8" s="17"/>
      <c r="E8" s="20">
        <v>45546</v>
      </c>
      <c r="F8" s="25">
        <v>155550</v>
      </c>
      <c r="H8" s="21" t="s">
        <v>40</v>
      </c>
      <c r="I8" s="13">
        <v>2</v>
      </c>
    </row>
    <row r="9" spans="2:15" x14ac:dyDescent="0.25">
      <c r="B9" s="16"/>
      <c r="C9" s="16"/>
      <c r="H9" s="21" t="s">
        <v>38</v>
      </c>
      <c r="I9" s="13">
        <v>2</v>
      </c>
    </row>
    <row r="10" spans="2:15" x14ac:dyDescent="0.25">
      <c r="B10" s="17" t="s">
        <v>26</v>
      </c>
      <c r="C10" s="17"/>
      <c r="H10" s="21" t="s">
        <v>32</v>
      </c>
      <c r="I10" s="13">
        <v>3</v>
      </c>
    </row>
    <row r="11" spans="2:15" x14ac:dyDescent="0.25">
      <c r="B11" s="19" cm="1">
        <f t="array" aca="1" ref="B11" ca="1">COUNT(_xlfn.UNIQUE(IF(MONTH(TblVentas[Fecha])=MONTH(TODAY()),TblVentas[IDTicket])))</f>
        <v>15</v>
      </c>
      <c r="C11" s="17"/>
      <c r="H11" s="21" t="s">
        <v>34</v>
      </c>
      <c r="I11" s="13">
        <v>4</v>
      </c>
    </row>
    <row r="12" spans="2:15" x14ac:dyDescent="0.25">
      <c r="B12" s="16"/>
      <c r="C12" s="16"/>
      <c r="H12" s="21" t="s">
        <v>35</v>
      </c>
      <c r="I12" s="13">
        <v>4</v>
      </c>
    </row>
    <row r="13" spans="2:15" x14ac:dyDescent="0.25">
      <c r="B13" s="16"/>
      <c r="C13" s="16"/>
    </row>
    <row r="14" spans="2:15" x14ac:dyDescent="0.25">
      <c r="B14" s="16"/>
      <c r="C14" s="16"/>
    </row>
    <row r="15" spans="2:15" x14ac:dyDescent="0.25">
      <c r="B15" s="16"/>
      <c r="C15" s="16"/>
    </row>
    <row r="16" spans="2:15" x14ac:dyDescent="0.25">
      <c r="B16" s="16"/>
      <c r="C16" s="16"/>
    </row>
    <row r="17" spans="2:3" x14ac:dyDescent="0.25">
      <c r="B17" s="16"/>
      <c r="C17" s="16"/>
    </row>
    <row r="18" spans="2:3" x14ac:dyDescent="0.25">
      <c r="B18" s="16"/>
      <c r="C18" s="16"/>
    </row>
  </sheetData>
  <pageMargins left="0.7" right="0.7" top="0.75" bottom="0.75" header="0.3" footer="0.3"/>
  <pageSetup orientation="portrait"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99CFC0BF-617F-4BE3-B1B8-1ADEF4200010}">
  <ds:schemaRefs/>
</ds:datastoreItem>
</file>

<file path=customXml/itemProps2.xml><?xml version="1.0" encoding="utf-8"?>
<ds:datastoreItem xmlns:ds="http://schemas.openxmlformats.org/officeDocument/2006/customXml" ds:itemID="{040AB456-0230-4752-82E3-109BD475046F}">
  <ds:schemaRefs/>
</ds:datastoreItem>
</file>

<file path=customXml/itemProps3.xml><?xml version="1.0" encoding="utf-8"?>
<ds:datastoreItem xmlns:ds="http://schemas.openxmlformats.org/officeDocument/2006/customXml" ds:itemID="{87827503-FC91-4BD4-90D0-B43CAFD42018}">
  <ds:schemaRefs/>
</ds:datastoreItem>
</file>

<file path=customXml/itemProps4.xml><?xml version="1.0" encoding="utf-8"?>
<ds:datastoreItem xmlns:ds="http://schemas.openxmlformats.org/officeDocument/2006/customXml" ds:itemID="{CDAF7A27-3EF7-45EE-9F6E-8B9FDDEA5707}">
  <ds:schemaRefs/>
</ds:datastoreItem>
</file>

<file path=customXml/itemProps5.xml><?xml version="1.0" encoding="utf-8"?>
<ds:datastoreItem xmlns:ds="http://schemas.openxmlformats.org/officeDocument/2006/customXml" ds:itemID="{F6681DFF-5C0C-4E7E-A98E-B4310970346C}">
  <ds:schemaRefs/>
</ds:datastoreItem>
</file>

<file path=customXml/itemProps6.xml><?xml version="1.0" encoding="utf-8"?>
<ds:datastoreItem xmlns:ds="http://schemas.openxmlformats.org/officeDocument/2006/customXml" ds:itemID="{BA0B2C0B-569F-4F75-8D89-9CFD5257DB0E}">
  <ds:schemaRefs/>
</ds:datastoreItem>
</file>

<file path=customXml/itemProps7.xml><?xml version="1.0" encoding="utf-8"?>
<ds:datastoreItem xmlns:ds="http://schemas.openxmlformats.org/officeDocument/2006/customXml" ds:itemID="{CCA99572-82F1-4C01-881B-E5A20F19AF95}">
  <ds:schemaRefs/>
</ds:datastoreItem>
</file>

<file path=customXml/itemProps8.xml><?xml version="1.0" encoding="utf-8"?>
<ds:datastoreItem xmlns:ds="http://schemas.openxmlformats.org/officeDocument/2006/customXml" ds:itemID="{41176291-D8AB-4446-805C-38B3FDBFF6B9}">
  <ds:schemaRefs/>
</ds:datastoreItem>
</file>

<file path=customXml/itemProps9.xml><?xml version="1.0" encoding="utf-8"?>
<ds:datastoreItem xmlns:ds="http://schemas.openxmlformats.org/officeDocument/2006/customXml" ds:itemID="{47D60DB8-AB86-44EE-A37F-C8BA722C6E84}">
  <ds:schemaRefs/>
</ds:datastoreItem>
</file>

<file path=customXml/itemProps10.xml><?xml version="1.0" encoding="utf-8"?>
<ds:datastoreItem xmlns:ds="http://schemas.openxmlformats.org/officeDocument/2006/customXml" ds:itemID="{FC1606B4-31BB-45C2-BF9C-B561A7C2A2C6}">
  <ds:schemaRefs/>
</ds:datastoreItem>
</file>

<file path=customXml/itemProps11.xml><?xml version="1.0" encoding="utf-8"?>
<ds:datastoreItem xmlns:ds="http://schemas.openxmlformats.org/officeDocument/2006/customXml" ds:itemID="{8A97CA18-7C55-4B42-AD51-83F0D20F888B}">
  <ds:schemaRefs/>
</ds:datastoreItem>
</file>

<file path=customXml/itemProps12.xml><?xml version="1.0" encoding="utf-8"?>
<ds:datastoreItem xmlns:ds="http://schemas.openxmlformats.org/officeDocument/2006/customXml" ds:itemID="{6DE40116-0920-464C-B411-9CA31CA482D6}">
  <ds:schemaRefs/>
</ds:datastoreItem>
</file>

<file path=customXml/itemProps13.xml><?xml version="1.0" encoding="utf-8"?>
<ds:datastoreItem xmlns:ds="http://schemas.openxmlformats.org/officeDocument/2006/customXml" ds:itemID="{EE2C89E6-88F7-4EAB-8196-54EAD5B95A52}">
  <ds:schemaRefs/>
</ds:datastoreItem>
</file>

<file path=customXml/itemProps14.xml><?xml version="1.0" encoding="utf-8"?>
<ds:datastoreItem xmlns:ds="http://schemas.openxmlformats.org/officeDocument/2006/customXml" ds:itemID="{2983A7A0-2CE0-498C-A54E-9B0E51527AC0}">
  <ds:schemaRefs/>
</ds:datastoreItem>
</file>

<file path=customXml/itemProps15.xml><?xml version="1.0" encoding="utf-8"?>
<ds:datastoreItem xmlns:ds="http://schemas.openxmlformats.org/officeDocument/2006/customXml" ds:itemID="{673FC7A7-903A-45E4-9A9E-8000E65A7172}">
  <ds:schemaRefs/>
</ds:datastoreItem>
</file>

<file path=customXml/itemProps16.xml><?xml version="1.0" encoding="utf-8"?>
<ds:datastoreItem xmlns:ds="http://schemas.openxmlformats.org/officeDocument/2006/customXml" ds:itemID="{DE1B3D61-D645-4E6E-9368-D3CF0163CE1F}">
  <ds:schemaRefs/>
</ds:datastoreItem>
</file>

<file path=customXml/itemProps17.xml><?xml version="1.0" encoding="utf-8"?>
<ds:datastoreItem xmlns:ds="http://schemas.openxmlformats.org/officeDocument/2006/customXml" ds:itemID="{6DC4A01E-8B58-4755-B0B1-7B95430DE03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Principal</vt:lpstr>
      <vt:lpstr>Ventas</vt:lpstr>
      <vt:lpstr>Productos</vt:lpstr>
      <vt:lpstr>Analiticas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Gonzalo Acevedo</dc:creator>
  <cp:lastModifiedBy>Gonzalo Acevedo</cp:lastModifiedBy>
  <dcterms:created xsi:type="dcterms:W3CDTF">2024-08-31T18:05:26Z</dcterms:created>
  <dcterms:modified xsi:type="dcterms:W3CDTF">2024-09-11T16:47:55Z</dcterms:modified>
</cp:coreProperties>
</file>